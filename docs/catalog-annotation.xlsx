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ções" sheetId="1" r:id="rId4"/>
    <sheet state="visible" name="Triagem" sheetId="2" r:id="rId5"/>
    <sheet state="visible" name="Catálogo" sheetId="3" r:id="rId6"/>
    <sheet state="visible" name="Listas" sheetId="4" r:id="rId7"/>
    <sheet state="visible" name="Rubrica" sheetId="5" r:id="rId8"/>
    <sheet state="visible" name="Acompanhamento" sheetId="6" r:id="rId9"/>
  </sheets>
  <definedNames>
    <definedName hidden="1" localSheetId="1" name="_xlnm._FilterDatabase">Triagem!$A$1:$W$1001</definedName>
  </definedNames>
  <calcPr/>
  <extLst>
    <ext uri="GoogleSheetsCustomDataVersion2">
      <go:sheetsCustomData xmlns:go="http://customooxmlschemas.google.com/" r:id="rId10" roundtripDataChecksum="7qevf7Xzebz27IgvaK84+Yk6/jz0THvlTsbLBqXdiV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ID#AAACInztwjQ
Unknown Author    (2026-10-14 01:33:44)
Identificador da mitigação na base de Saeri et al. (Airtable). Vai para source_reference.</t>
      </text>
    </comment>
    <comment authorId="0" ref="B1">
      <text>
        <t xml:space="preserve">======
ID#AAACInztwjY
Unknown Author    (2026-10-14 01:33:44)
Nome literal, em inglês, como está na base.</t>
      </text>
    </comment>
    <comment authorId="0" ref="C1">
      <text>
        <t xml:space="preserve">======
ID#AAACInztwhk
Unknown Author    (2026-10-14 01:33:44)
Descrição literal, em inglês, como está na base.</t>
      </text>
    </comment>
    <comment authorId="0" ref="D1">
      <text>
        <t xml:space="preserve">======
ID#AAACInztwjk
Unknown Author    (2026-10-14 01:33:44)
Um dos 13 documentos da base.</t>
      </text>
    </comment>
    <comment authorId="0" ref="E1">
      <text>
        <t xml:space="preserve">======
ID#AAACInztwhw
Unknown Author    (2026-10-14 01:33:44)
Subcategoria atribuída pela própria base. Mitigação sem subcategoria (X.X) falha no critério Classificada.</t>
      </text>
    </comment>
    <comment authorId="0" ref="G1">
      <text>
        <t xml:space="preserve">======
ID#AAACInztwkA
Unknown Author    (2026-10-14 01:33:44)
Aplicável a uma organização que implanta ou opera sistemas de IA, e não exclusiva de quem desenvolve modelos de fronteira?</t>
      </text>
    </comment>
    <comment authorId="0" ref="H1">
      <text>
        <t xml:space="preserve">======
ID#AAACInztwho
Unknown Author    (2026-10-14 01:33:44)
É uma ação concreta, e não uma condição organizacional (como 'cultura de segurança')?</t>
      </text>
    </comment>
    <comment authorId="0" ref="I1">
      <text>
        <t xml:space="preserve">======
ID#AAACInztwjE
Unknown Author    (2026-10-14 01:33:44)
É possível dizer que evidência comprovaria sua aplicação?</t>
      </text>
    </comment>
    <comment authorId="0" ref="J1">
      <text>
        <t xml:space="preserve">======
ID#AAACInztwhg
Unknown Author    (2026-10-14 01:33:44)
Tem subcategoria na taxonomia (não é X.X)?</t>
      </text>
    </comment>
    <comment authorId="0" ref="K1">
      <text>
        <t xml:space="preserve">======
ID#AAACInztwh8
Unknown Author    (2026-10-14 01:33:44)
Se outra entrada descreve a mesma ação, informe o ID da entrada escolhida como representativa. Deixe vazio na representativa.</t>
      </text>
    </comment>
    <comment authorId="0" ref="L1">
      <text>
        <t xml:space="preserve">======
ID#AAACInztwj8
Unknown Author    (2026-10-14 01:33:44)
Calculado: Sim quando os quatro critérios são Sim e a entrada não é redundante.</t>
      </text>
    </comment>
    <comment authorId="0" ref="M1">
      <text>
        <t xml:space="preserve">======
ID#AAACInztwiU
Unknown Author    (2026-10-14 01:33:44)
Incluir só entradas elegíveis escolhidas para o catálogo, respeitando a cobertura.</t>
      </text>
    </comment>
    <comment authorId="0" ref="N1">
      <text>
        <t xml:space="preserve">======
ID#AAACInztwjw
Unknown Author    (2026-10-14 01:33:44)
O primeiro critério que falhou, ou 'Fora da seleção de cobertura' para elegíveis não escolhidas.</t>
      </text>
    </comment>
    <comment authorId="0" ref="O1">
      <text>
        <t xml:space="preserve">======
ID#AAACInztwjo
Unknown Author    (2026-10-14 01:33:44)
Houve uso de IA na análise desta entrada? A validação humana é obrigatória e o uso será declarado no método.</t>
      </text>
    </comment>
    <comment authorId="0" ref="Q1">
      <text>
        <t xml:space="preserve">======
ID#AAACInztwh4
Unknown Author    (2026-10-14 01:33:44)
Sugestão da IA para o critério Ator. Não substitui a coluna G, que é preenchida pelo grupo.</t>
      </text>
    </comment>
    <comment authorId="0" ref="R1">
      <text>
        <t xml:space="preserve">======
ID#AAACInztwi4
Unknown Author    (2026-10-14 01:33:44)
Sugestão da IA para o critério Acionável. Não substitui a coluna H.</t>
      </text>
    </comment>
    <comment authorId="0" ref="S1">
      <text>
        <t xml:space="preserve">======
ID#AAACInztwiY
Unknown Author    (2026-10-14 01:33:44)
Sugestão da IA para o critério Verificável. Não substitui a coluna I.</t>
      </text>
    </comment>
    <comment authorId="0" ref="T1">
      <text>
        <t xml:space="preserve">======
ID#AAACInztwio
Unknown Author    (2026-10-14 01:33:44)
Critério objetivo: Não quando a subcategoria termina em X.</t>
      </text>
    </comment>
    <comment authorId="0" ref="U1">
      <text>
        <t xml:space="preserve">======
ID#AAACInztwjc
Unknown Author    (2026-10-14 01:33:44)
Sugestão da IA: Sim quando as quatro sugestões são Sim. A decisão é do grupo.</t>
      </text>
    </comment>
    <comment authorId="0" ref="V1">
      <text>
        <t xml:space="preserve">======
ID#AAACInztwhc
Unknown Author    (2026-10-14 01:33:44)
Motivo da sugestão, em uma frase. Confira lendo a descrição original.</t>
      </text>
    </comment>
    <comment authorId="0" ref="W1">
      <text>
        <t xml:space="preserve">======
ID#AAACInztwjg
Unknown Author    (2026-10-14 01:33:44)
Até três entradas elegíveis com texto mais parecido, pela similaridade dos textos (0 a 1). Pontuações baixas são esperadas: os documentos usam vocabulários diferentes. Serve de ponto de partida, não de decisão.</t>
      </text>
    </comment>
  </commentList>
  <extLst>
    <ext uri="GoogleSheetsCustomDataVersion2">
      <go:sheetsCustomData xmlns:go="http://customooxmlschemas.google.com/" r:id="rId1" roundtripDataSignature="AMtx7mhG2fLFaFHu6zD7y15cG+N1KbM+G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
ID#AAACInztwiw
Unknown Author    (2026-10-14 01:33:44)
Membro responsável pela entrada (10 por membro).</t>
      </text>
    </comment>
    <comment authorId="0" ref="C1">
      <text>
        <t xml:space="preserve">======
ID#AAACInztwiM
Unknown Author    (2026-10-14 01:33:44)
source_reference: o mesmo ID da folha Triagem.</t>
      </text>
    </comment>
    <comment authorId="0" ref="D1">
      <text>
        <t xml:space="preserve">======
ID#AAACInztwjI
Unknown Author    (2026-10-14 01:33:44)
source_name: literal, em inglês.</t>
      </text>
    </comment>
    <comment authorId="0" ref="E1">
      <text>
        <t xml:space="preserve">======
ID#AAACInztwiE
Unknown Author    (2026-10-14 01:33:44)
name: tradução e adaptação do nome. Deve ser único no catálogo.</t>
      </text>
    </comment>
    <comment authorId="0" ref="F1">
      <text>
        <t xml:space="preserve">======
ID#AAACInztwj0
Unknown Author    (2026-10-14 01:33:44)
source_document</t>
      </text>
    </comment>
    <comment authorId="0" ref="G1">
      <text>
        <t xml:space="preserve">======
ID#AAACInztwjM
Unknown Author    (2026-10-14 01:33:44)
saeri_subcategory: a mesma da base.</t>
      </text>
    </comment>
    <comment authorId="0" ref="H1">
      <text>
        <t xml:space="preserve">======
ID#AAACInztwiI
Unknown Author    (2026-10-14 01:33:44)
description: tradução e adaptação da descrição da base.</t>
      </text>
    </comment>
    <comment authorId="0" ref="I1">
      <text>
        <t xml:space="preserve">======
ID#AAACInztwic
Unknown Author    (2026-10-14 01:33:44)
Códigos do MIT separados por vírgula e espaço, em ordem crescente. Ex.: 1.1, 7.3</t>
      </text>
    </comment>
    <comment authorId="0" ref="K1">
      <text>
        <t xml:space="preserve">======
ID#AAACInztwi8
Unknown Author    (2026-10-14 01:33:44)
Preenchido de forma independente, sem consultar a coluna do anotador A (oculte-a antes). Mesmo formato.</t>
      </text>
    </comment>
    <comment authorId="0" ref="L1">
      <text>
        <t xml:space="preserve">======
ID#AAACInztwis
Unknown Author    (2026-10-14 01:33:44)
Deve ser um membro diferente do anotador A.</t>
      </text>
    </comment>
    <comment authorId="0" ref="M1">
      <text>
        <t xml:space="preserve">======
ID#AAACInztwiA
Unknown Author    (2026-10-14 01:33:44)
Calculado: Sim quando A e B escolheram exatamente os mesmos códigos. Indicador de acompanhamento; a medida do OE1 é calculada à parte.</t>
      </text>
    </comment>
    <comment authorId="0" ref="N1">
      <text>
        <t xml:space="preserve">======
ID#AAACInztwhs
Unknown Author    (2026-10-14 01:33:44)
target_risk_subdomains: resultado final, depois da discussão das divergências.</t>
      </text>
    </comment>
    <comment authorId="0" ref="O1">
      <text>
        <t xml:space="preserve">======
ID#AAACInztwik
Unknown Author    (2026-10-14 01:33:44)
suggested_target_risk: o risco que a mitigação trata, em texto.</t>
      </text>
    </comment>
    <comment authorId="0" ref="P1">
      <text>
        <t xml:space="preserve">======
ID#AAACInztwiQ
Unknown Author    (2026-10-14 01:33:44)
expected_evidence: o que comprovaria que a mitigação foi aplicada e funciona.</t>
      </text>
    </comment>
    <comment authorId="0" ref="Q1">
      <text>
        <t xml:space="preserve">======
ID#AAACInztwjs
Unknown Author    (2026-10-14 01:33:44)
Pela rubrica de custo (folha Rubrica).</t>
      </text>
    </comment>
    <comment authorId="0" ref="R1">
      <text>
        <t xml:space="preserve">======
ID#AAACInztwjA
Unknown Author    (2026-10-14 01:33:44)
Pela rubrica de incerteza: Limitada, Média ou Robusta.</t>
      </text>
    </comment>
    <comment authorId="0" ref="S1">
      <text>
        <t xml:space="preserve">======
ID#AAACInztwh0
Unknown Author    (2026-10-14 01:33:44)
Pela rubrica de incerteza: Baixa, Média ou Alta.</t>
      </text>
    </comment>
    <comment authorId="0" ref="T1">
      <text>
        <t xml:space="preserve">======
ID#AAACInztwig
Unknown Author    (2026-10-14 01:33:44)
Calculado a partir das duas colunas anteriores, pela matriz da folha Rubrica.</t>
      </text>
    </comment>
    <comment authorId="0" ref="U1">
      <text>
        <t xml:space="preserve">======
ID#AAACInztwi0
Unknown Author    (2026-10-14 01:33:44)
estimate_source: artigo do portfólio, norma ou 'estimativa do grupo', com a justificativa.</t>
      </text>
    </comment>
    <comment authorId="0" ref="X1">
      <text>
        <t xml:space="preserve">======
ID#AAACInztwjU
Unknown Author    (2026-10-14 01:33:44)
Calculado a partir do documento de origem: é o identificador que o sistema usa (source_document).</t>
      </text>
    </comment>
    <comment authorId="0" ref="Y1">
      <text>
        <t xml:space="preserve">======
ID#AAACInztwj4
Unknown Author    (2026-10-14 01:33:44)
Calculado a partir da subcategoria (saeri_subcategory).</t>
      </text>
    </comment>
  </commentList>
  <extLst>
    <ext uri="GoogleSheetsCustomDataVersion2">
      <go:sheetsCustomData xmlns:go="http://customooxmlschemas.google.com/" r:id="rId1" roundtripDataSignature="AMtx7mgLbwA5jjVY8SyhUF0KE7/Rp7vnXg=="/>
    </ext>
  </extLst>
</comments>
</file>

<file path=xl/sharedStrings.xml><?xml version="1.0" encoding="utf-8"?>
<sst xmlns="http://schemas.openxmlformats.org/spreadsheetml/2006/main" count="16057" uniqueCount="3647">
  <si>
    <t>ID na base</t>
  </si>
  <si>
    <t>Nº</t>
  </si>
  <si>
    <t>Nome original</t>
  </si>
  <si>
    <t>Descrição original</t>
  </si>
  <si>
    <t>Documento de origem</t>
  </si>
  <si>
    <t>Subcategoria (Saeri)</t>
  </si>
  <si>
    <t>Responsável</t>
  </si>
  <si>
    <t>Listas usadas nas seleções das outras folhas. Os códigos são a referência para a importação; os nomes seguem os arquivos de taxonomia do repositório.</t>
  </si>
  <si>
    <t>Ator</t>
  </si>
  <si>
    <t>Nome em português</t>
  </si>
  <si>
    <t>Acionável</t>
  </si>
  <si>
    <t>Verificável</t>
  </si>
  <si>
    <t>Classificada</t>
  </si>
  <si>
    <t>Redundante com (ID)</t>
  </si>
  <si>
    <t>Descrição em português</t>
  </si>
  <si>
    <t>Elegível</t>
  </si>
  <si>
    <t>Decisão</t>
  </si>
  <si>
    <t>Subdomínios: anotador A</t>
  </si>
  <si>
    <t>Motivo da exclusão</t>
  </si>
  <si>
    <t>Anotador A</t>
  </si>
  <si>
    <t>Assistência de IA</t>
  </si>
  <si>
    <t>Observações</t>
  </si>
  <si>
    <t>Subdomínios: anotador B</t>
  </si>
  <si>
    <t>IA: Ator</t>
  </si>
  <si>
    <t>Anotador B</t>
  </si>
  <si>
    <t>Concordância exata</t>
  </si>
  <si>
    <t>IA: Acionável</t>
  </si>
  <si>
    <t>IA: Verificável</t>
  </si>
  <si>
    <t>Subdomínios: consenso</t>
  </si>
  <si>
    <t>IA: Classificada</t>
  </si>
  <si>
    <t>IA: Elegível</t>
  </si>
  <si>
    <t>Risco-alvo sugerido</t>
  </si>
  <si>
    <t>IA: Justificativa</t>
  </si>
  <si>
    <t>IA: Possíveis redundâncias</t>
  </si>
  <si>
    <t>Evidência esperada</t>
  </si>
  <si>
    <t>Custo sugerido</t>
  </si>
  <si>
    <t>Evidência da estimativa</t>
  </si>
  <si>
    <t>Concordância das fontes</t>
  </si>
  <si>
    <t>Incerteza</t>
  </si>
  <si>
    <t>Fonte da estimativa</t>
  </si>
  <si>
    <t>A0388_NIST2024</t>
  </si>
  <si>
    <t>Legal Compliance Alignment</t>
  </si>
  <si>
    <t>Situação</t>
  </si>
  <si>
    <t>Align GAI development and use with applicable laws and regulations, including those related to data privacy, copyright and intellectual property law.</t>
  </si>
  <si>
    <t>Catálogo de mitigações (C2): planilha de trabalho</t>
  </si>
  <si>
    <t>Membros do grupo</t>
  </si>
  <si>
    <t>NIST AI RMF: Generative AI Profile (NIST, 2024)</t>
  </si>
  <si>
    <t>Documentos de origem (Saeri et al.)</t>
  </si>
  <si>
    <t>4.1 Documentação do sistema</t>
  </si>
  <si>
    <t>Chave do documento</t>
  </si>
  <si>
    <t>Subcategorias de Saeri et al.</t>
  </si>
  <si>
    <t>Código da subcategoria</t>
  </si>
  <si>
    <t>Angelo Andrioli Netho</t>
  </si>
  <si>
    <t>Domínios de risco (MIT)</t>
  </si>
  <si>
    <t>Subdomínios de risco (MIT)</t>
  </si>
  <si>
    <t>Sim</t>
  </si>
  <si>
    <t>Sim/Não</t>
  </si>
  <si>
    <t>Não</t>
  </si>
  <si>
    <t>Custo</t>
  </si>
  <si>
    <t>Evidência</t>
  </si>
  <si>
    <t>Concordância</t>
  </si>
  <si>
    <t>Subcategorias para a triagem (inclui as não classificadas)</t>
  </si>
  <si>
    <t>Objetivo</t>
  </si>
  <si>
    <t>Membro</t>
  </si>
  <si>
    <t>Documento</t>
  </si>
  <si>
    <t>Chave</t>
  </si>
  <si>
    <t>Opção</t>
  </si>
  <si>
    <t>Código</t>
  </si>
  <si>
    <t>Nome</t>
  </si>
  <si>
    <t>Domínio</t>
  </si>
  <si>
    <t>Subdomínio</t>
  </si>
  <si>
    <t>Renato Pestana de Gouveia</t>
  </si>
  <si>
    <r>
      <rPr>
        <rFont val="Arial"/>
        <b/>
        <color theme="1"/>
        <sz val="10.0"/>
      </rPr>
      <t>Selecionar 40 mitigações da base de Saeri</t>
    </r>
    <r>
      <rPr>
        <rFont val="Arial"/>
        <color theme="1"/>
        <sz val="10.0"/>
      </rPr>
      <t xml:space="preserve"> et al. (MIT AI Risk Initiative) aplicáveis a organizações que implantam ou operam sistemas de IA, e completar os campos de contribuição do grupo. Decisão 0024.</t>
    </r>
  </si>
  <si>
    <t>A0657_Barrett2024</t>
  </si>
  <si>
    <t>Elicit Requirements &amp; Assess Impacts</t>
  </si>
  <si>
    <t>Levantar requisitos e avaliar impactos</t>
  </si>
  <si>
    <t>International AI Safety Report 2025 (Bengio et al., 2025)</t>
  </si>
  <si>
    <t>bengio-2025</t>
  </si>
  <si>
    <t>Fonte</t>
  </si>
  <si>
    <t>AI Risk Management Standards Profile for GPAIS (Barrett et al., 2024)</t>
  </si>
  <si>
    <t>1.1 Estrutura de conselho e supervisão</t>
  </si>
  <si>
    <t>1.1</t>
  </si>
  <si>
    <t>Estrutura de conselho e supervisão</t>
  </si>
  <si>
    <t>1</t>
  </si>
  <si>
    <t>Discriminação e toxicidade</t>
  </si>
  <si>
    <t>1.2 Gestão de riscos</t>
  </si>
  <si>
    <t>Discriminação injusta e representação distorcida</t>
  </si>
  <si>
    <t>Incluir</t>
  </si>
  <si>
    <t>Baixo</t>
  </si>
  <si>
    <t>Limitada</t>
  </si>
  <si>
    <t>Baixa</t>
  </si>
  <si>
    <t>Rascunho</t>
  </si>
  <si>
    <t>Fernando Alonso Piroga da Silva</t>
  </si>
  <si>
    <t>A Frontier AI Risk Management Framework (Campos et al., 2025)</t>
  </si>
  <si>
    <t>campos-2025</t>
  </si>
  <si>
    <t>1.2</t>
  </si>
  <si>
    <t>Gestão de riscos</t>
  </si>
  <si>
    <t>2</t>
  </si>
  <si>
    <t>Privacidade e segurança</t>
  </si>
  <si>
    <t>Diretriz genérica, princípio ou condição organizacional, sem ação concreta definida.</t>
  </si>
  <si>
    <t>Exposição a conteúdo tóxico</t>
  </si>
  <si>
    <t>Excluir</t>
  </si>
  <si>
    <t>A0389_NIST2024</t>
  </si>
  <si>
    <t>Training Data Transparency</t>
  </si>
  <si>
    <t>Establish transparency policies and processes for documenting the origin and history of training data and generated data for GAI applications to advance digital content transparency, while balancing the proprietary nature of training approaches.</t>
  </si>
  <si>
    <t>Médio</t>
  </si>
  <si>
    <t>Média</t>
  </si>
  <si>
    <t>3.2 Governança de dados</t>
  </si>
  <si>
    <t>Em revisão</t>
  </si>
  <si>
    <t>Hugo Fagundes Faria Santos</t>
  </si>
  <si>
    <r>
      <rPr>
        <rFont val="Arial"/>
        <color theme="1"/>
        <sz val="10.0"/>
      </rPr>
      <t>AI Risk Mitigation Database, MIT AI Risk Initiative (</t>
    </r>
    <r>
      <rPr>
        <rFont val="Arial"/>
        <b/>
        <color theme="1"/>
        <sz val="10.0"/>
      </rPr>
      <t>airisk.mit.edu</t>
    </r>
    <r>
      <rPr>
        <rFont val="Arial"/>
        <color theme="1"/>
        <sz val="10.0"/>
      </rPr>
      <t xml:space="preserve">), </t>
    </r>
    <r>
      <rPr>
        <rFont val="Arial"/>
        <color theme="1"/>
        <sz val="10.0"/>
        <u/>
      </rPr>
      <t>versão pública de 2025-07-23</t>
    </r>
    <r>
      <rPr>
        <rFont val="Arial"/>
        <color theme="1"/>
        <sz val="10.0"/>
      </rPr>
      <t xml:space="preserve"> (</t>
    </r>
    <r>
      <rPr>
        <rFont val="Arial"/>
        <b/>
        <color theme="1"/>
        <sz val="10.0"/>
      </rPr>
      <t>arquivo _PUBLIC__Mitigation_Database_2025-07-23.csv</t>
    </r>
    <r>
      <rPr>
        <rFont val="Arial"/>
        <color theme="1"/>
        <sz val="10.0"/>
      </rPr>
      <t>). As 831 entradas já estão carregadas na folha Triagem, ordenadas pelos grupos de documentos. Dados sob licença CC BY 4.0: dar o crédito e indicar as alterações (tradução e adaptação).</t>
    </r>
  </si>
  <si>
    <t>The Unified Control Framework (Eisenberg et al., 2025)</t>
  </si>
  <si>
    <t>eisenberg-2025</t>
  </si>
  <si>
    <r>
      <rPr>
        <rFont val="Arial"/>
        <color theme="1"/>
        <sz val="10.0"/>
      </rPr>
      <t xml:space="preserve">Os </t>
    </r>
    <r>
      <rPr>
        <rFont val="Arial"/>
        <b/>
        <color theme="1"/>
        <sz val="10.0"/>
      </rPr>
      <t>requisitos do sistema</t>
    </r>
    <r>
      <rPr>
        <rFont val="Arial"/>
        <color theme="1"/>
        <sz val="10.0"/>
      </rPr>
      <t xml:space="preserve"> (por exemplo, “o sistema deve respeitar a privacidade de seus usuários”) são levantados junto aos </t>
    </r>
    <r>
      <rPr>
        <rFont val="Arial"/>
        <b/>
        <color theme="1"/>
        <sz val="10.0"/>
      </rPr>
      <t>atores relevantes</t>
    </r>
    <r>
      <rPr>
        <rFont val="Arial"/>
        <color theme="1"/>
        <sz val="10.0"/>
      </rPr>
      <t xml:space="preserve"> no contexto de IA e compreendidos por eles. As </t>
    </r>
    <r>
      <rPr>
        <rFont val="Arial"/>
        <b/>
        <color theme="1"/>
        <sz val="10.0"/>
      </rPr>
      <t>decisões de projeto</t>
    </r>
    <r>
      <rPr>
        <rFont val="Arial"/>
        <color theme="1"/>
        <sz val="10.0"/>
      </rPr>
      <t xml:space="preserve"> levam em consideração as </t>
    </r>
    <r>
      <rPr>
        <rFont val="Arial"/>
        <b/>
        <color theme="1"/>
        <sz val="10.0"/>
      </rPr>
      <t>implicações sociotécnicas</t>
    </r>
    <r>
      <rPr>
        <rFont val="Arial"/>
        <color theme="1"/>
        <sz val="10.0"/>
      </rPr>
      <t>, visando tratar os riscos associados à IA.</t>
    </r>
  </si>
  <si>
    <t>1.3 Proteção contra conflitos de interesse</t>
  </si>
  <si>
    <t>1.3</t>
  </si>
  <si>
    <t>Proteção contra conflitos de interesse</t>
  </si>
  <si>
    <t>A0460; A0527</t>
  </si>
  <si>
    <t>3</t>
  </si>
  <si>
    <r>
      <rPr>
        <rFont val="Arial"/>
        <color theme="1"/>
        <sz val="10.0"/>
      </rPr>
      <t xml:space="preserve">1.1, 2.1, </t>
    </r>
    <r>
      <rPr>
        <rFont val="Arial"/>
        <b/>
        <color theme="1"/>
        <sz val="10.0"/>
      </rPr>
      <t>6.5, 7.3, 7.4</t>
    </r>
  </si>
  <si>
    <t>Informação incorreta</t>
  </si>
  <si>
    <t>Desempenho desigual entre grupos</t>
  </si>
  <si>
    <t>Passo 1. Triagem</t>
  </si>
  <si>
    <t>1.1, 2.1, 4.1, 6.5, 7.3, 7.4</t>
  </si>
  <si>
    <t>Alto</t>
  </si>
  <si>
    <t>Robusta</t>
  </si>
  <si>
    <t>Alta</t>
  </si>
  <si>
    <t>Aplicável a quem implanta ou opera sistemas de IA; ação concreta e comprovável.</t>
  </si>
  <si>
    <t>A0460_NIST2024 Transparency Training Adaptation (0,24); A0527_NIST2024 Digital Content Transparency (0,18)</t>
  </si>
  <si>
    <t>Concluída</t>
  </si>
  <si>
    <t>A0390_NIST2024</t>
  </si>
  <si>
    <t>Risk Capability Evaluation</t>
  </si>
  <si>
    <t>Risk Sources and Risk Management Measures (Gipiškis et al., 2024)</t>
  </si>
  <si>
    <t>Establish policies to evaluate risk-relevant capabilities of GAI and robustness of safety measures, both prior to deployment and on an ongoing basis, through internal and external evaluations.</t>
  </si>
  <si>
    <r>
      <rPr>
        <rFont val="Arial"/>
        <color theme="1"/>
        <sz val="10.0"/>
      </rPr>
      <t>As entradas da base já estão na folha Triagem. O critério Classificada já vem preenchido, por ser objetivo (</t>
    </r>
    <r>
      <rPr>
        <rFont val="Arial"/>
        <color theme="1"/>
        <sz val="10.0"/>
        <u/>
      </rPr>
      <t>as 16 sem subcategoria, com código terminado em X, ficam com Não</t>
    </r>
    <r>
      <rPr>
        <rFont val="Arial"/>
        <color theme="1"/>
        <sz val="10.0"/>
      </rPr>
      <t xml:space="preserve">). Cada membro analisa o seu bloco e marca os outros três critérios. </t>
    </r>
    <r>
      <rPr>
        <rFont val="Arial"/>
        <b/>
        <color theme="1"/>
        <sz val="10.0"/>
      </rPr>
      <t>A coluna Elegível é calculada</t>
    </r>
    <r>
      <rPr>
        <rFont val="Arial"/>
        <color theme="1"/>
        <sz val="10.0"/>
      </rPr>
      <t>.</t>
    </r>
  </si>
  <si>
    <t>gipiskis-2024</t>
  </si>
  <si>
    <t>1.4 Canal de denúncia e proteção ao denunciante</t>
  </si>
  <si>
    <t>1.4</t>
  </si>
  <si>
    <t>3.1 Testes e auditoria</t>
  </si>
  <si>
    <t>Canal de denúncia e proteção ao denunciante</t>
  </si>
  <si>
    <t>4</t>
  </si>
  <si>
    <t>Agentes maliciosos e uso indevido</t>
  </si>
  <si>
    <t>2.1</t>
  </si>
  <si>
    <t>Comprometimento da privacidade por obtenção, vazamento ou inferência de informações sensíveis</t>
  </si>
  <si>
    <t>Passo 2. Seleção</t>
  </si>
  <si>
    <t>Entre as elegíveis, escolha 40, 10 por membro, respeitando a cobertura da folha Acompanhamento: as subcategorias aplicáveis representadas e cada domínio de risco do MIT com 3 mitigações ou mais. Marque Incluir nelas e Excluir, com motivo, nas demais.</t>
  </si>
  <si>
    <t>Effective Mitigations for Systemic Risks from GPAI (Uuk et al., 2024)</t>
  </si>
  <si>
    <t>uuk-2024</t>
  </si>
  <si>
    <t>1.5 Estruturas de decisão de segurança</t>
  </si>
  <si>
    <t>1.5</t>
  </si>
  <si>
    <t>Estruturas de decisão de segurança</t>
  </si>
  <si>
    <t>Passo 3. Catálogo</t>
  </si>
  <si>
    <t>5</t>
  </si>
  <si>
    <t>Para cada entrada incluída, preencha a folha Catálogo. Os campos de Saeri (ID, nome original, documento, subcategoria) são copiados da triagem; os demais são contribuição do grupo.</t>
  </si>
  <si>
    <t>Interação humano-computador</t>
  </si>
  <si>
    <t>2.2</t>
  </si>
  <si>
    <t>Vulnerabilidades de segurança e ataques a sistemas de IA</t>
  </si>
  <si>
    <t>A0391_NIST2024</t>
  </si>
  <si>
    <t>Risk Tier Definition</t>
  </si>
  <si>
    <t>Redundante</t>
  </si>
  <si>
    <t>Consider the following factors when updating or defining risk tiers for GAI: Abuses and impacts to information integrity; Dependencies between GAI and other IT or data systems; Harm to fundamental rights or public safety; Presentation of obscene, objectionable, offensive, discriminatory, invalid or untruthful output; Psychological impacts to humans (e.g., anthropomorphization, algorithmic aversion, emotional entanglement); Possibility for malicious use; Whether the system introduces significant new security vulnerabilities; Anticipated system impact on some groups compared to others; Unreliable decision making capabilities, validity, adaptability, and variability of GAI system performance over time.</t>
  </si>
  <si>
    <t>Passo 4. Anotação dupla</t>
  </si>
  <si>
    <t>Cada mitigação tem dois anotadores, de membros diferentes, para os subdomínios de risco. O anotador B preenche sem ver a coluna do anotador A (oculte-a antes de começar). Depois, os dois discutem as divergências e registram o consenso. Essa anotação dupla é a base da medida de concordância do OE1.</t>
  </si>
  <si>
    <t>FLI AI Safety Index 2024 (Future of Life Institute)</t>
  </si>
  <si>
    <t>fli-2024</t>
  </si>
  <si>
    <t>1.6 Gestão de impacto ambiental</t>
  </si>
  <si>
    <t>1.6</t>
  </si>
  <si>
    <t>Gestão de impacto ambiental</t>
  </si>
  <si>
    <t>6</t>
  </si>
  <si>
    <t>Socioeconômico e ambiental</t>
  </si>
  <si>
    <t>3.1</t>
  </si>
  <si>
    <t>Passo 5. Estimativas</t>
  </si>
  <si>
    <t>Implementação de IA com decisões de projeto desalinhadas do contexto sociotécnico, gerando violações de direitos e falhas não previstas de governança.</t>
  </si>
  <si>
    <t>Informação falsa ou enganosa</t>
  </si>
  <si>
    <t>Custo, evidência e concordância seguem a folha Rubrica. A incerteza é calculada. Registre na Fonte da estimativa de onde veio cada avaliação.</t>
  </si>
  <si>
    <t>Documento de requisitos sociotécnicos aprovado pelas partes interessadas e matriz de rastreabilidade comprovando a incorporação desses requisitos na arquitetura/projeto do sistema.</t>
  </si>
  <si>
    <t>Fora da seleção de cobertura</t>
  </si>
  <si>
    <t>Critérios de inclusão</t>
  </si>
  <si>
    <t>Towards Best Practices in AGI Safety and Governance (Schuett et al., 2023)</t>
  </si>
  <si>
    <t>schuett-2023</t>
  </si>
  <si>
    <t>1.7 Avaliação de impacto social</t>
  </si>
  <si>
    <t>1.7</t>
  </si>
  <si>
    <t>Avaliação de impacto social</t>
  </si>
  <si>
    <t>7</t>
  </si>
  <si>
    <t>Redigida como consideração ou pergunta; a ação subjacente é concreta e aplicável, mas a descrição precisa ser reescrita como ação.</t>
  </si>
  <si>
    <t>Segurança, falhas e limitações de sistemas de IA</t>
  </si>
  <si>
    <t>3.2</t>
  </si>
  <si>
    <t>Poluição do ecossistema de informação e perda de uma realidade comum</t>
  </si>
  <si>
    <t>A0392_NIST2024</t>
  </si>
  <si>
    <t>Performance Threshold Standards</t>
  </si>
  <si>
    <t>Establish minimum thresholds for performance or assurance criteria and review as part of deployment approval ("go/"no-go") policies, procedures, and processes, with reviewed processes and approval thresholds reflecting measurement of GAI capabilities and risks.</t>
  </si>
  <si>
    <t>Pitfalls of Evidence-Based AI Policy (Casper et al., 2025)</t>
  </si>
  <si>
    <t>casper-2025</t>
  </si>
  <si>
    <r>
      <rPr>
        <rFont val="Arial"/>
        <b/>
        <color theme="1"/>
        <sz val="10.0"/>
      </rPr>
      <t>Ator:</t>
    </r>
    <r>
      <rPr>
        <rFont val="Arial"/>
        <color theme="1"/>
        <sz val="10.0"/>
      </rPr>
      <t xml:space="preserve"> aplicável a quem implanta ou opera sistemas de IA.</t>
    </r>
    <r>
      <rPr>
        <rFont val="Arial"/>
        <b/>
        <color theme="1"/>
        <sz val="10.0"/>
      </rPr>
      <t xml:space="preserve"> Acionável: </t>
    </r>
    <r>
      <rPr>
        <rFont val="Arial"/>
        <color theme="1"/>
        <sz val="10.0"/>
      </rPr>
      <t xml:space="preserve">ação concreta, não condição organizacional. </t>
    </r>
    <r>
      <rPr>
        <rFont val="Arial"/>
        <b/>
        <color theme="1"/>
        <sz val="10.0"/>
      </rPr>
      <t>Verificável:</t>
    </r>
    <r>
      <rPr>
        <rFont val="Arial"/>
        <color theme="1"/>
        <sz val="10.0"/>
      </rPr>
      <t xml:space="preserve"> há evidência que comprove a aplicação. </t>
    </r>
    <r>
      <rPr>
        <rFont val="Arial"/>
        <b/>
        <color theme="1"/>
        <sz val="10.0"/>
      </rPr>
      <t xml:space="preserve">Classificada: </t>
    </r>
    <r>
      <rPr>
        <rFont val="Arial"/>
        <color theme="1"/>
        <sz val="10.0"/>
      </rPr>
      <t>tem subcategoria (não é X.X). As quatro condições são obrigatórias.</t>
    </r>
  </si>
  <si>
    <t>2.1 Segurança do modelo e da infraestrutura</t>
  </si>
  <si>
    <t>Segurança do modelo e da infraestrutura</t>
  </si>
  <si>
    <t>4.1</t>
  </si>
  <si>
    <t>Desinformação, vigilância e influência em larga escala</t>
  </si>
  <si>
    <t>Redundância</t>
  </si>
  <si>
    <t>Quando várias entradas descrevem a mesma ação, escolha uma representativa e registre o ID dela na coluna 'Redundante com' das demais. Não funda entradas: a rastreabilidade até a base depende do ID.</t>
  </si>
  <si>
    <t>EU AI Act: GPAI Code of Practice, Draft 3 (EU AI Office, 2025)</t>
  </si>
  <si>
    <t>eu-ai-office-2025</t>
  </si>
  <si>
    <t>2.2 Alinhamento do modelo</t>
  </si>
  <si>
    <t>Alinhamento do modelo</t>
  </si>
  <si>
    <t>Formato dos subdomínios</t>
  </si>
  <si>
    <t>4.2</t>
  </si>
  <si>
    <t>Ciberataques, desenvolvimento ou uso de armas e danos em massa</t>
  </si>
  <si>
    <t>A0393_NIST2024</t>
  </si>
  <si>
    <t xml:space="preserve">CBRN Testing Protocol </t>
  </si>
  <si>
    <t>Establish a test plan and response policy, before developing highly capable models, to periodically evaluate whether the model may misuse CBRN information or capabilities and/or offensive cyber capabilities.</t>
  </si>
  <si>
    <t>Emerging Processes for Frontier AI Safety (DSIT UK, 2023)</t>
  </si>
  <si>
    <r>
      <rPr>
        <rFont val="Arial"/>
        <color theme="1"/>
        <sz val="10.0"/>
      </rPr>
      <t xml:space="preserve">Códigos do MIT </t>
    </r>
    <r>
      <rPr>
        <rFont val="Arial"/>
        <color theme="1"/>
        <sz val="10.0"/>
        <u/>
      </rPr>
      <t>separados por vírgula e espaço, em ordem crescente:</t>
    </r>
    <r>
      <rPr>
        <rFont val="Arial"/>
        <color theme="1"/>
        <sz val="10.0"/>
      </rPr>
      <t xml:space="preserve"> </t>
    </r>
    <r>
      <rPr>
        <rFont val="Arial"/>
        <b/>
        <color theme="1"/>
        <sz val="10.0"/>
      </rPr>
      <t>1.1, 7.3.</t>
    </r>
    <r>
      <rPr>
        <rFont val="Arial"/>
        <color theme="1"/>
        <sz val="10.0"/>
      </rPr>
      <t xml:space="preserve"> A ordem importa para o cálculo de concordância exata.</t>
    </r>
  </si>
  <si>
    <t>dsit-2023</t>
  </si>
  <si>
    <t>2.3 Engenharia de segurança do modelo</t>
  </si>
  <si>
    <t>2.3</t>
  </si>
  <si>
    <t>Engenharia de segurança do modelo</t>
  </si>
  <si>
    <t>4.3</t>
  </si>
  <si>
    <t>Fraudes, golpes e manipulação direcionada</t>
  </si>
  <si>
    <t>Barrett et al. (2024, p. 33), perfil construído sobre o NIST AI RMF 1.0 (subcategoria MAP 1.6), descreve a ação e lista itens de ação e de documentação do Playbook do NIST, como avaliar impactos ao longo do ciclo de vida com especialistas e comunidades afetadas. De forma independente, a ISO/IEC 42001:2023 exige especificar e documentar os requisitos dos sistemas de IA (controle A.6.2.2) e avaliar e documentar os impactos sobre indivíduos, grupos e a sociedade (cláusulas 6.1.4 e 8.4; controles A.5). Custo estimado pelo grupo, pela rubrica.</t>
  </si>
  <si>
    <t>nist-2024</t>
  </si>
  <si>
    <t>2.4 Controles de segurança de conteúdo</t>
  </si>
  <si>
    <t>2.4</t>
  </si>
  <si>
    <t>Controles de segurança de conteúdo</t>
  </si>
  <si>
    <t>5.1</t>
  </si>
  <si>
    <t>Dependência excessiva e uso inseguro</t>
  </si>
  <si>
    <t>Voltada a quem desenvolve ou treina modelos de fronteira (capacidades perigosas, treinamento em larga escala, pesos, escalonamento); pouco aplicável a quem implanta ou opera.</t>
  </si>
  <si>
    <t>A0394_NIST2024</t>
  </si>
  <si>
    <t>Stakeholder Input Collection</t>
  </si>
  <si>
    <t>Obtain input from stakeholder communities to identify unacceptable use, in accordance with activities in the AI RMF Map function.</t>
  </si>
  <si>
    <t>barrett-2024</t>
  </si>
  <si>
    <t>Testes e auditoria</t>
  </si>
  <si>
    <t>5.2</t>
  </si>
  <si>
    <t>Perda de agência e autonomia humanas</t>
  </si>
  <si>
    <t>California Senate Bill 1047 (2024)</t>
  </si>
  <si>
    <t>ca-sb1047-2024</t>
  </si>
  <si>
    <t>Governança de dados</t>
  </si>
  <si>
    <t>6.1</t>
  </si>
  <si>
    <r>
      <rPr>
        <rFont val="Arial"/>
        <color theme="1"/>
        <sz val="10.0"/>
      </rPr>
      <t xml:space="preserve">Modelo de preenchimento
</t>
    </r>
    <r>
      <rPr>
        <rFont val="Arial"/>
        <b/>
        <color theme="1"/>
        <sz val="10.0"/>
      </rPr>
      <t>[Fontes consultadas], [o que cada uma sustenta]. [O que é julgamento do grupo].</t>
    </r>
    <r>
      <rPr>
        <rFont val="Arial"/>
        <color theme="1"/>
        <sz val="10.0"/>
      </rPr>
      <t xml:space="preserve">
Regras:
- </t>
    </r>
    <r>
      <rPr>
        <rFont val="Arial"/>
        <color theme="1"/>
        <sz val="10.0"/>
        <u/>
      </rPr>
      <t>Cite só fontes que você abriu e conferiu.</t>
    </r>
    <r>
      <rPr>
        <rFont val="Arial"/>
        <color theme="1"/>
        <sz val="10.0"/>
      </rPr>
      <t xml:space="preserve"> Se usar IA para achar fontes, confira cada uma: a IA inventa referências com facilidade.
- A fonte original da mitigação (o documento de Saeri) </t>
    </r>
    <r>
      <rPr>
        <rFont val="Arial"/>
        <color theme="1"/>
        <sz val="10.0"/>
        <u/>
      </rPr>
      <t>sustenta o que a mitigação é, mas raramente sustenta custo</t>
    </r>
    <r>
      <rPr>
        <rFont val="Arial"/>
        <color theme="1"/>
        <sz val="10.0"/>
      </rPr>
      <t xml:space="preserve">.
- Quando </t>
    </r>
    <r>
      <rPr>
        <rFont val="Arial"/>
        <color theme="1"/>
        <sz val="10.0"/>
        <u/>
      </rPr>
      <t>não houver fonte externa</t>
    </r>
    <r>
      <rPr>
        <rFont val="Arial"/>
        <color theme="1"/>
        <sz val="10.0"/>
      </rPr>
      <t xml:space="preserve"> para alguma estimativa, usaremos esta resposta como </t>
    </r>
    <r>
      <rPr>
        <rFont val="Arial"/>
        <color theme="1"/>
        <sz val="10.0"/>
        <u/>
      </rPr>
      <t>padrão</t>
    </r>
    <r>
      <rPr>
        <rFont val="Arial"/>
        <color theme="1"/>
        <sz val="10.0"/>
      </rPr>
      <t xml:space="preserve">: "Custo estimado pelo grupo, pela rubrica." Isso é legítimo; o que não pode é esconder.
- </t>
    </r>
    <r>
      <rPr>
        <rFont val="Arial"/>
        <color theme="1"/>
        <sz val="10.0"/>
        <u/>
      </rPr>
      <t>Coerência com a rubrica:</t>
    </r>
    <r>
      <rPr>
        <rFont val="Arial"/>
        <color theme="1"/>
        <sz val="10.0"/>
      </rPr>
      <t xml:space="preserve"> se a única base for o julgamento do grupo, a evidência é </t>
    </r>
    <r>
      <rPr>
        <rFont val="Arial"/>
        <b/>
        <color theme="1"/>
        <sz val="10.0"/>
      </rPr>
      <t>Limitada</t>
    </r>
    <r>
      <rPr>
        <rFont val="Arial"/>
        <color theme="1"/>
        <sz val="10.0"/>
      </rPr>
      <t xml:space="preserve">. Se houver mais de uma fonte, ou uma norma ou guia reconhecido, sem dado empírico, é </t>
    </r>
    <r>
      <rPr>
        <rFont val="Arial"/>
        <b/>
        <color theme="1"/>
        <sz val="10.0"/>
      </rPr>
      <t>Média</t>
    </r>
    <r>
      <rPr>
        <rFont val="Arial"/>
        <color theme="1"/>
        <sz val="10.0"/>
      </rPr>
      <t xml:space="preserve">. </t>
    </r>
    <r>
      <rPr>
        <rFont val="Arial"/>
        <b/>
        <color theme="1"/>
        <sz val="10.0"/>
      </rPr>
      <t>Robusta</t>
    </r>
    <r>
      <rPr>
        <rFont val="Arial"/>
        <color theme="1"/>
        <sz val="10.0"/>
      </rPr>
      <t xml:space="preserve"> exige várias fontes independentes com estudo empírico ou avaliação publicada.</t>
    </r>
  </si>
  <si>
    <t>Centralização de poder e distribuição injusta de benefícios</t>
  </si>
  <si>
    <t>A0395_NIST2024</t>
  </si>
  <si>
    <t xml:space="preserve">Risk Hierarchy Maintenance </t>
  </si>
  <si>
    <t>Maintain an updated hierarchy of identified and expected GAI risks connected to contexts of GAI model advancement and use, potentially including specialized risk levels for GAI systems that address issues such as model collapse and algorithmic monoculture.</t>
  </si>
  <si>
    <t>Uso de IA</t>
  </si>
  <si>
    <t>3.3 Gestão de acesso</t>
  </si>
  <si>
    <t>3.3</t>
  </si>
  <si>
    <t>Gestão de acesso</t>
  </si>
  <si>
    <t>6.2</t>
  </si>
  <si>
    <r>
      <rPr>
        <rFont val="Arial"/>
        <color theme="1"/>
        <sz val="10.0"/>
        <u/>
      </rPr>
      <t>Permitido como apoio, com validação humana integral de cada entrada, e registrado na coluna Assistência de IA.</t>
    </r>
    <r>
      <rPr>
        <rFont val="Arial"/>
        <color theme="1"/>
        <sz val="10.0"/>
      </rPr>
      <t xml:space="preserve"> Saeri et al. relatam que assistentes de IA omitiram, fundiram e inventaram mitigações durante a extração.</t>
    </r>
  </si>
  <si>
    <t>Aumento da desigualdade e piora na qualidade do emprego</t>
  </si>
  <si>
    <t>Pré-triagem por IA</t>
  </si>
  <si>
    <t>3.4 Implantação em etapas</t>
  </si>
  <si>
    <t>3.4</t>
  </si>
  <si>
    <t>Implantação em etapas</t>
  </si>
  <si>
    <t>6.3</t>
  </si>
  <si>
    <t>Desvalorização econômica e cultural do esforço humano</t>
  </si>
  <si>
    <t>A0396_NIST2024</t>
  </si>
  <si>
    <r>
      <rPr>
        <rFont val="Arial"/>
        <color theme="1"/>
        <sz val="10.0"/>
      </rPr>
      <t xml:space="preserve">As colunas azuis da Triagem (Q a W) trazem sugestões da IA para os critérios, com justificativa e possíveis redundâncias. </t>
    </r>
    <r>
      <rPr>
        <rFont val="Arial"/>
        <color theme="1"/>
        <sz val="10.0"/>
        <u/>
      </rPr>
      <t>Elas são só sugestões: as colunas G a I continuam sendo preenchidas pela equipe, entrada por entrada, depois de ler a descrição original. Por isso a coluna 'Assistência de IA' já vem marcada como Sim.</t>
    </r>
    <r>
      <rPr>
        <rFont val="Arial"/>
        <color theme="1"/>
        <sz val="10.0"/>
      </rPr>
      <t xml:space="preserve"> Atenção especial às entradas com justificativa de redação como consideração ou pergunta: elas podem ser elegíveis, mas a descrição precisará ser reescrita como ação. A coluna de subdomínios de risco da folha Catálogo NUNCA recebe sugestão da IA, porque é a base da medida do OE1.</t>
    </r>
  </si>
  <si>
    <t>Risk Tolerance Reassessment</t>
  </si>
  <si>
    <t>Reevaluate organizational risk tolerances to account for unacceptable negative risk (such as where significant negative impacts are imminent, severe harms are actually occurring, or large-scale risks could occur); and broad GAI negative risks, including: Immature safety or risk cultures related to AI and GAI design, development and deployment, public information integrity risks, including impacts on democratic processes, unknown long-term performance characteristics of GAI.</t>
  </si>
  <si>
    <t>3.5 Monitoramento pós-implantação</t>
  </si>
  <si>
    <t>3.5</t>
  </si>
  <si>
    <t>Monitoramento pós-implantação</t>
  </si>
  <si>
    <t>Legenda</t>
  </si>
  <si>
    <t>6.4</t>
  </si>
  <si>
    <t>Dinâmicas competitivas</t>
  </si>
  <si>
    <t>A0656</t>
  </si>
  <si>
    <r>
      <rPr>
        <rFont val="Arial"/>
        <b/>
        <color theme="1"/>
        <sz val="10.0"/>
      </rPr>
      <t>Células brancas:</t>
    </r>
    <r>
      <rPr>
        <rFont val="Arial"/>
        <color theme="1"/>
        <sz val="10.0"/>
      </rPr>
      <t xml:space="preserve"> preencher. </t>
    </r>
    <r>
      <rPr>
        <rFont val="Arial"/>
        <b/>
        <color theme="1"/>
        <sz val="10.0"/>
      </rPr>
      <t>Células cinza:</t>
    </r>
    <r>
      <rPr>
        <rFont val="Arial"/>
        <color theme="1"/>
        <sz val="10.0"/>
      </rPr>
      <t xml:space="preserve"> calculadas, não editar. Os cabeçalhos têm comentários com a explicação de cada coluna. As listas de seleção vêm da folha Listas.</t>
    </r>
  </si>
  <si>
    <t>3.6 Resposta a incidentes e recuperação</t>
  </si>
  <si>
    <t>3.6</t>
  </si>
  <si>
    <t>Resposta a incidentes e recuperação</t>
  </si>
  <si>
    <t>A0656_Barrett2024 Risk Tolerance Thresholds (0,16)</t>
  </si>
  <si>
    <t>Importação</t>
  </si>
  <si>
    <t>A0397_NIST2024</t>
  </si>
  <si>
    <t>Concluído o trabalho, a folha Catálogo é exportada em CSV e convertida no arquivo do catálogo do projeto por um comando que aplica as mesmas validações do sistema.</t>
  </si>
  <si>
    <t>Development Halt Plan</t>
  </si>
  <si>
    <t>6.5</t>
  </si>
  <si>
    <t>Devise a plan to halt development or deployment of a GAI system that poses unacceptable negative risk.</t>
  </si>
  <si>
    <t>Falha de governança</t>
  </si>
  <si>
    <t>Documentação do sistema</t>
  </si>
  <si>
    <t>6.6</t>
  </si>
  <si>
    <t>Danos ambientais</t>
  </si>
  <si>
    <t>Exemplo ilustrativo de linha da Triagem</t>
  </si>
  <si>
    <t>A0398_NIST2024</t>
  </si>
  <si>
    <t>Harmful Content Prevention</t>
  </si>
  <si>
    <t>Establish policies and mechanisms to prevent GAI systems from generating CSAM, NCII or content that violates the law.</t>
  </si>
  <si>
    <t>Valores fictícios, só para mostrar o formato. O ID e os textos reais vêm da base.</t>
  </si>
  <si>
    <t>4.2 Divulgação de riscos</t>
  </si>
  <si>
    <t>Divulgação de riscos</t>
  </si>
  <si>
    <t>7.1</t>
  </si>
  <si>
    <t>IA perseguindo objetivos próprios em conflito com objetivos ou valores humanos</t>
  </si>
  <si>
    <t>(ID da base)</t>
  </si>
  <si>
    <t>4.3 Relato de incidentes</t>
  </si>
  <si>
    <t>A0399_NIST2024</t>
  </si>
  <si>
    <t>Relato de incidentes</t>
  </si>
  <si>
    <t>Incident response plan</t>
  </si>
  <si>
    <t>Acceptable Use Policy</t>
  </si>
  <si>
    <t>Establish transparent acceptable use policies for GAI that address illegal use or applications of GAI.</t>
  </si>
  <si>
    <t>7.2</t>
  </si>
  <si>
    <t>IA com capacidades perigosas</t>
  </si>
  <si>
    <t>Establish a plan for responding to AI incidents, including roles, escalation and recovery steps.</t>
  </si>
  <si>
    <t>4.4 Divulgação da governança</t>
  </si>
  <si>
    <t>4.4</t>
  </si>
  <si>
    <t>Divulgação da governança</t>
  </si>
  <si>
    <t>7.3</t>
  </si>
  <si>
    <t>Falta de capacidade ou robustez</t>
  </si>
  <si>
    <t>A0415; A0436; A0447</t>
  </si>
  <si>
    <t>4.5 Acesso de terceiros ao sistema</t>
  </si>
  <si>
    <t>4.5</t>
  </si>
  <si>
    <t>Acesso de terceiros ao sistema</t>
  </si>
  <si>
    <t>7.4</t>
  </si>
  <si>
    <t>Falta de transparência ou interpretabilidade</t>
  </si>
  <si>
    <t>A0415_NIST2024 Interface Use Policy (0,31); A0436_NIST2024 Third-Party Use Policy Update (0,30); A0447_NIST2024 Illegal Use Identification (0,21)</t>
  </si>
  <si>
    <t>A0400_NIST2024</t>
  </si>
  <si>
    <t>Content Provenance Review</t>
  </si>
  <si>
    <t>Define organizational responsibilities for periodic review of content provenance and incident monitoring for GAI systems.</t>
  </si>
  <si>
    <t>4.6 Direitos e recursos dos usuários</t>
  </si>
  <si>
    <t>4.6</t>
  </si>
  <si>
    <t>Direitos e recursos dos usuários</t>
  </si>
  <si>
    <t>7.5</t>
  </si>
  <si>
    <t>Bem-estar e direitos da IA</t>
  </si>
  <si>
    <t>Responsável pela triagem</t>
  </si>
  <si>
    <t>A0637</t>
  </si>
  <si>
    <t>A0637_Barrett2024 Monitoring of RM policies (0,19)</t>
  </si>
  <si>
    <t>7.6</t>
  </si>
  <si>
    <t>Riscos multiagentes</t>
  </si>
  <si>
    <t>A0401_NIST2024</t>
  </si>
  <si>
    <t>Incident Response Process</t>
  </si>
  <si>
    <t>Establish organizational policies and procedures for after action reviews of GAI system incident response and incident disclosures, to identify gaps; Update incident response and incident disclosure processes as required.</t>
  </si>
  <si>
    <t>X.X Controle não categorizado</t>
  </si>
  <si>
    <t>A0409; A0439; A0209;</t>
  </si>
  <si>
    <t>1.X Controle de governança e supervisão não categorizado</t>
  </si>
  <si>
    <t>A0409_NIST2024 Incident Response Teams (0,24); A0439_NIST2024 Third-Party Response Plans (0,20); A0209_Schuett2023 Security incident response plan (0,19)</t>
  </si>
  <si>
    <t>2.X Controle técnico e de segurança não categorizado</t>
  </si>
  <si>
    <t>A0402_NIST2024</t>
  </si>
  <si>
    <t>Documentation Retention Policy</t>
  </si>
  <si>
    <t>Maintain a document retention policy to keep history for test, evaluation, validation, and verification (TEVV), and digital content transparency methods for GAI.</t>
  </si>
  <si>
    <t>A0527</t>
  </si>
  <si>
    <t>3.X Controle de processo operacional não categorizado</t>
  </si>
  <si>
    <t>A0527_NIST2024 Digital Content Transparency (0,16)</t>
  </si>
  <si>
    <t>A0403_NIST2024</t>
  </si>
  <si>
    <t>System Inventory Enumeration</t>
  </si>
  <si>
    <t>Enumerate organizational GAI systems for incorporation into AI system inventory and adjust AI system inventory requirements to account for GAI risks.</t>
  </si>
  <si>
    <t>A0638; A0404;</t>
  </si>
  <si>
    <t>Sim (calculado)</t>
  </si>
  <si>
    <t>A0638_Barrett2024 Inventory AI Systems (0,18); A0404_NIST2024 Inventory Exemption Definition (0,16)</t>
  </si>
  <si>
    <t>A0404_NIST2024</t>
  </si>
  <si>
    <t>Inventory Exemption Definition</t>
  </si>
  <si>
    <t>Define any inventory exemptions in organizational policies for GAI systems embedded into application software.</t>
  </si>
  <si>
    <t>A0403; A0638;</t>
  </si>
  <si>
    <t>A0403_NIST2024 System Inventory Enumeration (0,16); A0638_Barrett2024 Inventory AI Systems (0,15)</t>
  </si>
  <si>
    <t>A0405_NIST2024</t>
  </si>
  <si>
    <t>Comprehensive Inventory Details</t>
  </si>
  <si>
    <t>In addition to general model, governance, and risk information, consider the following items in GAI system inventory entries: Data provenance information (e.g., source, signatures, versioning, watermarks); Known issues reported from internal bug tracking or external information sharing resources (e.g., AI incident database, AVID, CVE, NVD, or OECD AI incident monitor); Human oversight roles and responsibilities; Special rights and considerations for intellectual property, licensed works, or personal, privileged, proprietary or sensitive data; Underlying foundation models, versions of underlying models, and access modes.</t>
  </si>
  <si>
    <t>A0675_Barrett2024</t>
  </si>
  <si>
    <t>Measure &amp; Document Deployment Performance</t>
  </si>
  <si>
    <t>Medir e documentar o desempenho da implantação</t>
  </si>
  <si>
    <t>A0408</t>
  </si>
  <si>
    <t>Representativa de outras duas entradas equivalentes.</t>
  </si>
  <si>
    <t>A0408_NIST2024 Incident Communication Framework (0,23)</t>
  </si>
  <si>
    <t>A0406_NIST2024</t>
  </si>
  <si>
    <t>Deactivation Protocol</t>
  </si>
  <si>
    <t>Protocols are put in place to ensure GAI systems are able to be deactivated when necessary.</t>
  </si>
  <si>
    <t>Exemplo ilustrativo de linha do Catálogo</t>
  </si>
  <si>
    <t>A0407_NIST2024</t>
  </si>
  <si>
    <t>Decommissioning Considerations</t>
  </si>
  <si>
    <t>Consider the following factors when decommissioning GAI systems: Data retention requirements; Data security, e.g., containment, protocols, Data leakage after decommissioning; Dependencies between upstream, downstream, or other data, internet of things (IOT) or AI systems; Use of open-source data or models; Users' emotional entanglement with GAI functions.</t>
  </si>
  <si>
    <t>Valores fictícios, só para mostrar o formato.</t>
  </si>
  <si>
    <r>
      <rPr>
        <rFont val="Arial"/>
        <color theme="1"/>
        <sz val="10.0"/>
      </rPr>
      <t xml:space="preserve">Os critérios de desempenho ou de garantia de sistemas de IA são </t>
    </r>
    <r>
      <rPr>
        <rFont val="Arial"/>
        <b/>
        <color theme="1"/>
        <sz val="10.0"/>
      </rPr>
      <t>medidos</t>
    </r>
    <r>
      <rPr>
        <rFont val="Arial"/>
        <color theme="1"/>
        <sz val="10.0"/>
      </rPr>
      <t xml:space="preserve"> de forma qualitativa ou quantitativa e </t>
    </r>
    <r>
      <rPr>
        <rFont val="Arial"/>
        <b/>
        <color theme="1"/>
        <sz val="10.0"/>
      </rPr>
      <t>demonstrados</t>
    </r>
    <r>
      <rPr>
        <rFont val="Arial"/>
        <color theme="1"/>
        <sz val="10.0"/>
      </rPr>
      <t xml:space="preserve"> para condições semelhantes às do(s) ambiente(s) de implantação. As medições são </t>
    </r>
    <r>
      <rPr>
        <rFont val="Arial"/>
        <b/>
        <color theme="1"/>
        <sz val="10.0"/>
      </rPr>
      <t>documentadas</t>
    </r>
    <r>
      <rPr>
        <rFont val="Arial"/>
        <color theme="1"/>
        <sz val="10.0"/>
      </rPr>
      <t>.</t>
    </r>
  </si>
  <si>
    <t>6.5, 7.3, 7.4</t>
  </si>
  <si>
    <t>A0408_NIST2024</t>
  </si>
  <si>
    <t>Incident Communication Framework</t>
  </si>
  <si>
    <t>Establish organizational roles, policies, and procedures for communicating GAI incidents and performance to AI Actors and downstream stakeholders (including those potentially impacted), via community or official resources (e.g., AI incident database, AVID, CVE, NVD, or OECD AI incident monitor).</t>
  </si>
  <si>
    <t>4.1, 6.5, 7.3, 7.4</t>
  </si>
  <si>
    <t>A0405</t>
  </si>
  <si>
    <t>Implantação de IA sem validação técnica prévia sob condições realistas de produção, resultando em falhas, comportamento impreciso e falta de rastreabilidade do desempenho</t>
  </si>
  <si>
    <t>Relatórios formais de testes de validação e garantia de qualidade (benchmarks/métricas quantitativas e qualificações qualitativas) documentando o comportamento do sistema em ambiente simulado ou pré-produtivo idêntico ao de implantação, contendo a aprovação da equipe técnica responsável.</t>
  </si>
  <si>
    <t>A0405_NIST2024 Comprehensive Inventory Details (0,23)</t>
  </si>
  <si>
    <t>A0409_NIST2024</t>
  </si>
  <si>
    <t>Incident Response Teams</t>
  </si>
  <si>
    <t>Establish procedures to engage teams for GAI system incident response with diverse composition and responsibilities based on the particular incident type.</t>
  </si>
  <si>
    <t>A0401; A0439; A0209;</t>
  </si>
  <si>
    <t>Plano de resposta a incidentes</t>
  </si>
  <si>
    <t>A0401_NIST2024 Incident Response Process (0,24); A0439_NIST2024 Third-Party Response Plans (0,20); A0209_Schuett2023 Security incident response plan (0,18)</t>
  </si>
  <si>
    <t>A0410_NIST2024</t>
  </si>
  <si>
    <t>Response Team Verification</t>
  </si>
  <si>
    <t>Establish processes to verify the AI Actors conducting GAI incident response tasks demonstrate and maintain the appropriate skills and training.</t>
  </si>
  <si>
    <t>A0401; A0409;</t>
  </si>
  <si>
    <t>A0401_NIST2024 Incident Response Process (0,16); A0409_NIST2024 Incident Response Teams (0,15)</t>
  </si>
  <si>
    <t>A0411_NIST2024</t>
  </si>
  <si>
    <t>National Security Involvement</t>
  </si>
  <si>
    <t>When systems may raise national security risks, involve national security professionals in mapping, measuring, and managing those risks.</t>
  </si>
  <si>
    <t>Barrett et al. (2023, p. 46), perfil construído sobre o NIST AI RMF 1.0 (subcategoria MEASURE 2.5: "The AI system to be deployed is demonstrated to be valid and reliable. Limitations of the generalizability beyond the conditions under which the technology was developed are documented"), orienta a medição formal das formas de validade (incluindo validade externa/generalizabilidade), confiabilidade e robustez, além de documentar as limitações operacionais fora da distribuição de treino. De forma complementar e independente, a norma ISO/IEC 42001:2023 exige definir e documentar medidas de verificação e validação do sistema de IA (controle A.6.2.4 e seção B.6.2.4), incluindo critérios de aceitação, avaliação de robustez e tratamento das limitações de desempenho. Custo estimado pelo grupo, pela rubrica.</t>
  </si>
  <si>
    <t>Estabelecer um plano de resposta a incidentes de IA, com papéis, escalonamento e etapas de recuperação.</t>
  </si>
  <si>
    <t>3.1, 7.3</t>
  </si>
  <si>
    <t>A0412_NIST2024</t>
  </si>
  <si>
    <t>Whistleblower Protection</t>
  </si>
  <si>
    <t>Create mechanisms to provide protections for whistleblowers who report, based on reasonable belief, when the organization violates relevant laws or poses a specific and empirically well-substantiated negative risk to public safety (or has already caused harm).</t>
  </si>
  <si>
    <t>A0022; A1044; A0104;</t>
  </si>
  <si>
    <t>A0022_Bengio2025 Whistleblower protection (0,23); A1044_Uuk2024 Whistleblower protections (0,18); A0104_Future of Life Institute2024 Comprehensive whistleblower protection policy (0,18)</t>
  </si>
  <si>
    <t>A0413_NIST2024</t>
  </si>
  <si>
    <t>Independent Evaluation Policy</t>
  </si>
  <si>
    <t>Policies are in place to bolster oversight of GAI systems with independent evaluations or assessments of GAI models or systems where the type and robustness of evaluations are proportional to the identified risks.</t>
  </si>
  <si>
    <t>A0414_NIST2024</t>
  </si>
  <si>
    <t>Organizational Role Adjustment</t>
  </si>
  <si>
    <t>Consider adjustment of organizational roles and components across lifecycle stages of large or complex GAI systems, including: Test and evaluation, validation, and red-teaming of GAI systems; GAI content moderation; GAI system development and engineering; Increased accessibility of GAI tools, interfaces, and systems, Incident response and containment.</t>
  </si>
  <si>
    <t>Falhas do sistema em produção que causam dano antes de serem contidas.</t>
  </si>
  <si>
    <t>A0415_NIST2024</t>
  </si>
  <si>
    <t>Interface Use Policy</t>
  </si>
  <si>
    <t>Define acceptable use policies for GAI interfaces, modalities, and human-AI configurations (i.e., for chatbots and decision-making tasks), including criteria for the kinds of queries GAI applications should refuse to respond to.</t>
  </si>
  <si>
    <t>Plano aprovado, com responsáveis nomeados, e registro de ao menos um exercício simulado.</t>
  </si>
  <si>
    <t>A0399; A0436;</t>
  </si>
  <si>
    <t>A0399_NIST2024 Acceptable Use Policy (0,31); A0436_NIST2024 Third-Party Use Policy Update (0,18)</t>
  </si>
  <si>
    <t>A0416_NIST2024</t>
  </si>
  <si>
    <t xml:space="preserve">User Feedback Mechanism </t>
  </si>
  <si>
    <t>Establish policies for user feedback mechanisms for GAI systems which include thorough instructions and any mechanisms for recourse.</t>
  </si>
  <si>
    <t>A0687</t>
  </si>
  <si>
    <t>A0687_Barrett2024 Enable User Feedback &amp; Appeals (0,16)</t>
  </si>
  <si>
    <t>A0417_NIST2024</t>
  </si>
  <si>
    <t>Threat Modeling Process</t>
  </si>
  <si>
    <t>Engage in threat modeling to anticipate potential risks from GAI systems</t>
  </si>
  <si>
    <t>Baixa (calculado)</t>
  </si>
  <si>
    <t>A0418_NIST2024</t>
  </si>
  <si>
    <t>Risk Measurement Improvement</t>
  </si>
  <si>
    <t>Establish policies and procedures that address continual improvement processes for GAI risk measurement. Address general risks associated with a lack of explainability and transparency in GAI systems by using ample documentation and techniques such as: application of gradient-based attributions, occlusion/term reduction, counterfactual prompts and prompt engineering, and analysis of embeddings; Assess and update risk measurement approaches at regular cadences</t>
  </si>
  <si>
    <t>NIST AI 600-1 (2024); ISO/IEC 42001, controle de incidentes.</t>
  </si>
  <si>
    <t>A0529</t>
  </si>
  <si>
    <t>A0529_NIST2024 ML Explanation Application (0,23)</t>
  </si>
  <si>
    <t>A0419_NIST2024</t>
  </si>
  <si>
    <t>Standardized Measurement Protocols</t>
  </si>
  <si>
    <t>Establish policies, procedures, and processes detailing risk measurement in context of use with standardized measurement protocols and structured public feedback exercises such as AI red-teaming or independent external evaluations.</t>
  </si>
  <si>
    <t>A0490; A0493;</t>
  </si>
  <si>
    <t>nist-2024 (calculado)</t>
  </si>
  <si>
    <t>3.6 (calculado)</t>
  </si>
  <si>
    <t>A0677_Barrett2024</t>
  </si>
  <si>
    <t>A0490_NIST2024 Feedback Exercise Use Cases (0,16); A0493_NIST2024 External Evaluation Engagement (0,16)</t>
  </si>
  <si>
    <t>Demonstrate Validity &amp; Generalization Limits</t>
  </si>
  <si>
    <t>A0420_NIST2024</t>
  </si>
  <si>
    <t>Demonstrar a validade e os limites de generalização</t>
  </si>
  <si>
    <t>Lifecycle Oversight Functions</t>
  </si>
  <si>
    <t>Establish policies, procedures, and processes for oversight functions (e.g., senior leadership, legal, compliance, including internal evaluation) across the GAI lifecycle, from problem formulation and supply chains to system decommission.</t>
  </si>
  <si>
    <t>A0421_NIST2024</t>
  </si>
  <si>
    <t>Terms of Service Establishment</t>
  </si>
  <si>
    <t>Establish terms of use and terms of service for GAI systems.</t>
  </si>
  <si>
    <r>
      <rPr>
        <rFont val="Arial"/>
        <color theme="1"/>
        <sz val="10.0"/>
      </rPr>
      <t xml:space="preserve">O sistema de IA a ser implementado demonstra ser </t>
    </r>
    <r>
      <rPr>
        <rFont val="Arial"/>
        <b/>
        <color theme="1"/>
        <sz val="10.0"/>
      </rPr>
      <t>válido</t>
    </r>
    <r>
      <rPr>
        <rFont val="Arial"/>
        <color theme="1"/>
        <sz val="10.0"/>
      </rPr>
      <t xml:space="preserve"> e </t>
    </r>
    <r>
      <rPr>
        <rFont val="Arial"/>
        <b/>
        <color theme="1"/>
        <sz val="10.0"/>
      </rPr>
      <t>confiável</t>
    </r>
    <r>
      <rPr>
        <rFont val="Arial"/>
        <color theme="1"/>
        <sz val="10.0"/>
      </rPr>
      <t xml:space="preserve">. As limitações quanto à sua generalizabilidade para além das condições em que a tecnologia foi desenvolvida estão </t>
    </r>
    <r>
      <rPr>
        <rFont val="Arial"/>
        <b/>
        <color theme="1"/>
        <sz val="10.0"/>
      </rPr>
      <t>documentadas</t>
    </r>
    <r>
      <rPr>
        <rFont val="Arial"/>
        <color theme="1"/>
        <sz val="10.0"/>
      </rPr>
      <t>.</t>
    </r>
  </si>
  <si>
    <t>A0817</t>
  </si>
  <si>
    <t>A0817_UK Government2023 Information Sharing with Downstream Users (0,17)</t>
  </si>
  <si>
    <t>A0422_NIST2024</t>
  </si>
  <si>
    <t xml:space="preserve">	Actor Inclusion in Risk ID</t>
  </si>
  <si>
    <t xml:space="preserve"> Include relevant AI Actors in the GAI system risk identification process.</t>
  </si>
  <si>
    <t>Falhas imprevisíveis, alucinações ou perda severa de desempenho e confiabilidade ao operar fora das condições específicas de treinamento/desenvolvimento, resultando em tomada de decisão incorreta em cenários reais decorrente da falta de mapeamento formal dos limites de generalização e validade do modelo.</t>
  </si>
  <si>
    <t>Relatórios formais de avaliação e documentação de limites operacionais, contendo resultados de testes de validade (construto, interna e externa/generalizabilidade), métricas de robustez e confiabilidade sob diferentes condições de entrada, e especificação clara de casos de uso/domínios não recomendados no System Card ou Model Card.</t>
  </si>
  <si>
    <t>A0423_NIST2024</t>
  </si>
  <si>
    <t>Downstream Impact Verification</t>
  </si>
  <si>
    <t>Verify that downstream GAI system impacts (such as the use of third-party plugins) are included in the impact documentation process.</t>
  </si>
  <si>
    <t>A0424_NIST2024</t>
  </si>
  <si>
    <t>Provenance Method Measurement</t>
  </si>
  <si>
    <t>Establish policies for measuring the effectiveness of employed content provenance methodologies (e.g., cryptography, watermarking, steganography, etc.)</t>
  </si>
  <si>
    <t>A0425_NIST2024</t>
  </si>
  <si>
    <t xml:space="preserve">	Feedback Resource Allocation</t>
  </si>
  <si>
    <t>Allocate time and resources for outreach, feedback, and recourse processes in GAI system development.</t>
  </si>
  <si>
    <t>A0426_NIST2024</t>
  </si>
  <si>
    <t>User Interaction Documentation</t>
  </si>
  <si>
    <t>Document interactions with GAI systems to users prior to interactive activities, particularly in contexts involving more significant risks.</t>
  </si>
  <si>
    <t>A0160</t>
  </si>
  <si>
    <t>A0160_Future of Life Institute2024 User Interaction Monitoring &amp; Response Restri (0,19)</t>
  </si>
  <si>
    <t>A0427_NIST2024</t>
  </si>
  <si>
    <t>Content Rights Categorization</t>
  </si>
  <si>
    <t>Categorize different types of GAI content with associated third-party rights (e.g., copyright, intellectual property, data privacy).</t>
  </si>
  <si>
    <t>A0650</t>
  </si>
  <si>
    <t>A0650_Barrett2024 Third-Party Risk (0,18)</t>
  </si>
  <si>
    <t>A0428_NIST2024</t>
  </si>
  <si>
    <t>Joint Educational Activities</t>
  </si>
  <si>
    <t>Conduct joint educational activities and events in collaboration with third parties to promote best practices for managing GAI risks.</t>
  </si>
  <si>
    <t>A0429_NIST2024</t>
  </si>
  <si>
    <t>Provenance Success Metrics</t>
  </si>
  <si>
    <t>Develop and validate approaches for measuring the success of content provenance management efforts with third parties (e.g., incidents detected and response times).</t>
  </si>
  <si>
    <t>A0430_NIST2024</t>
  </si>
  <si>
    <t>Contract and SLA Standards</t>
  </si>
  <si>
    <t>Draft and maintain well-defined contracts and service level agreements (SLAs) that specify content ownership, usage rights, quality standards, security requirements, and content provenance expectations for GAI systems.</t>
  </si>
  <si>
    <t>A0431_NIST2024</t>
  </si>
  <si>
    <t xml:space="preserve">	Supplier Risk Assessment</t>
  </si>
  <si>
    <t>Implement a use-cased based supplier risk assessment framework to evaluate and monitor third-party entities' performance and adherence to content provenance standards and technologies to detect anomalies and unauthorized changes; services acquisition and value chain risk management; and legal compliance.</t>
  </si>
  <si>
    <t>A0432_NIST2024</t>
  </si>
  <si>
    <t>Contract Evaluation Clauses</t>
  </si>
  <si>
    <t>Include clauses in contracts which allow an organization to evaluate third-party GAI processes and standards.</t>
  </si>
  <si>
    <t>A0433_NIST2024</t>
  </si>
  <si>
    <t>Third-Party Entity Inventory</t>
  </si>
  <si>
    <t>Inventory all third-party entities with access to organizational content and establish approved GAI technology and service provider lists.</t>
  </si>
  <si>
    <t>A0434_NIST2024</t>
  </si>
  <si>
    <t>Third-Party Change Records</t>
  </si>
  <si>
    <t>Maintain records of changes to content made by third parties to promote content provenance, including sources, timestamps, metadata.</t>
  </si>
  <si>
    <t>A0698_Barrett2024</t>
  </si>
  <si>
    <t xml:space="preserve">Deactivate Misaligned Systems  </t>
  </si>
  <si>
    <t>Desativar sistemas desalinhados</t>
  </si>
  <si>
    <t>A0435_NIST2024</t>
  </si>
  <si>
    <t>Due Diligence Process Update</t>
  </si>
  <si>
    <t>Update and integrate due diligence processes for GAI acquisition and procurement vendor assessments to include intellectual property, data privacy, security, and other risks. For example, update processes to: Address solutions that may rely on embedded GAI technologies; Address ongoing monitoring, assessments, and alerting, dynamic risk assessments, and real-time reporting tools for monitoring third-party GAI risks; Consider policy adjustments across GAI modeling libraries, tools and APIs, fine-tuned models, and embedded tools; Assess GAI vendors, open-source or proprietary GAI tools, or GAI service providers against incident or vulnerability databases.</t>
  </si>
  <si>
    <t>A0436</t>
  </si>
  <si>
    <t>A0436_NIST2024 Third-Party Use Policy Update (0,16)</t>
  </si>
  <si>
    <t>A0436_NIST2024</t>
  </si>
  <si>
    <t>Third-Party Use Policy Update</t>
  </si>
  <si>
    <r>
      <rPr>
        <rFont val="Arial"/>
        <color theme="1"/>
        <sz val="10.0"/>
      </rPr>
      <t xml:space="preserve">Existem </t>
    </r>
    <r>
      <rPr>
        <rFont val="Arial"/>
        <b/>
        <color theme="1"/>
        <sz val="10.0"/>
      </rPr>
      <t>mecanismos implementados e em uso</t>
    </r>
    <r>
      <rPr>
        <rFont val="Arial"/>
        <color theme="1"/>
        <sz val="10.0"/>
      </rPr>
      <t xml:space="preserve">, bem como </t>
    </r>
    <r>
      <rPr>
        <rFont val="Arial"/>
        <b/>
        <color theme="1"/>
        <sz val="10.0"/>
      </rPr>
      <t>responsabilidades atribuídas e compreendidas</t>
    </r>
    <r>
      <rPr>
        <rFont val="Arial"/>
        <color theme="1"/>
        <sz val="10.0"/>
      </rPr>
      <t xml:space="preserve">, para </t>
    </r>
    <r>
      <rPr>
        <rFont val="Arial"/>
        <color theme="1"/>
        <sz val="10.0"/>
        <u/>
      </rPr>
      <t>substituir, desativar ou interromper sistemas de IA que apresentem desempenho ou resultados incompatíveis com o uso pretendido</t>
    </r>
    <r>
      <rPr>
        <rFont val="Arial"/>
        <color theme="1"/>
        <sz val="10.0"/>
      </rPr>
      <t>.</t>
    </r>
  </si>
  <si>
    <t>Update GAI acceptable use policies to address proprietary and open-source GAI technologies and data, and contractors, consultants, and other third-party personnel.</t>
  </si>
  <si>
    <t>6.5, 7.3</t>
  </si>
  <si>
    <t>A0399; A0415; A0435;</t>
  </si>
  <si>
    <t>Uso continuado ou descontrole de sistemas de IA que apresentem comportamento desalinhado, indesejado ou de alto risco, resultando em falhas operacionais, ampliação de danos socioambientais, violação de diretrizes de governança ou incapacidade de interrupção emergencial (falta de mecanismos de kill switch / desligamento seguro).</t>
  </si>
  <si>
    <t>Procedimentos operacionais padronizados (SOPs) e protocolos técnicos documentados que estabeleçam limiares de acionamento para bypass, interrupção ou desativação emergencial de modelos (kill switches ou desligamento físico em centros de dados), acompanhados por matriz de responsabilidades e relatórios formais de testes do mecanismo de desativação executados em ambiente controlado.</t>
  </si>
  <si>
    <t>A0399_NIST2024 Acceptable Use Policy (0,30); A0415_NIST2024 Interface Use Policy (0,18); A0435_NIST2024 Due Diligence Process Update (0,16)</t>
  </si>
  <si>
    <t>A0437_NIST2024</t>
  </si>
  <si>
    <t>Value Chain Risk Documentation</t>
  </si>
  <si>
    <t>Document GAI risks associated with system value chain to identify over-reliance on third-party data and to identify fallbacks.</t>
  </si>
  <si>
    <t>A0509; A0744; A0746;</t>
  </si>
  <si>
    <t>A0509_NIST2024 Value Chain Wellbeing Assessment (0,19); A0744_NIST2024 Value Chain and Component Integration (0,19); A0746_NIST2024 Information Integrity; Information Security;  (0,18)</t>
  </si>
  <si>
    <t>A0438_NIST2024</t>
  </si>
  <si>
    <t>Third-Party Incident Documentation</t>
  </si>
  <si>
    <t>Document incidents involving third-party GAI data and systems, including open-source data and open-source software</t>
  </si>
  <si>
    <t>A0436_NIST2024 Third-Party Use Policy Update (0,15)</t>
  </si>
  <si>
    <t>A0439_NIST2024</t>
  </si>
  <si>
    <t>Third-Party Response Plans</t>
  </si>
  <si>
    <t>Establish incident response plans for third-party GAI technologies: Align incident response plans with impacts enumerated in MAP 5.1; Communicate third-party GAI incident response plans to all relevant AI Actors; Define ownership of GAI incident response functions; Rehearse third-party GAI incident response plans at a regular cadence; Improve incident response plans based on retrospective learning; Review incident response plans for alignment with relevant breach reporting, data protection, data privacy, or other laws.</t>
  </si>
  <si>
    <t>A0409; A0401; A0830;</t>
  </si>
  <si>
    <t>Barrett et al. (2023, p. 59), perfil construído sobre o NIST AI RMF 1.0 (subcategoria MANAGE 2.4: "Mechanisms are in place and applied, and responsibilities are assigned and understood, to supersede, disengage, or deactivate AI systems that demonstrate performance or outcomes inconsistent with intended use"), orienta o planejamento de procedimentos de desligamento emergencial (emergency power off / kill switches), liberação gradual (staged-release) e acesso estruturado via API para garantir a capacidade de desativação. De forma independente e complementar, a norma ISO/IEC 42001:2023 prevê controles para tratamento e resposta a incidentes e interrupção operacional de sistemas de IA (cláusula 8.4 e anexos de controle A.8 e B.8). Custo estimado pelo grupo, pela rubrica.</t>
  </si>
  <si>
    <t>A0409_NIST2024 Incident Response Teams (0,20); A0401_NIST2024 Incident Response Process (0,20); A0830_UK Government2023 Incident Response, Escalation, and Remeditati (0,16)</t>
  </si>
  <si>
    <t>A0440_NIST2024</t>
  </si>
  <si>
    <t>Third-Party Monitoring Policy</t>
  </si>
  <si>
    <t>Establish policies and procedures for continuous monitoring of third-party GAI systems in deployment.</t>
  </si>
  <si>
    <t>A0077; A0441;</t>
  </si>
  <si>
    <t>A0077_Eisenberg2025 Establish responsible development and deploym (0,18); A0441_NIST2024 Data Redundancy Policy (0,18)</t>
  </si>
  <si>
    <t>A0441_NIST2024</t>
  </si>
  <si>
    <t>Data Redundancy Policy</t>
  </si>
  <si>
    <t>Establish policies and procedures that address GAI data redundancy, including model weights and other system artifacts.</t>
  </si>
  <si>
    <t>A0440</t>
  </si>
  <si>
    <t>A0440_NIST2024 Third-Party Monitoring Policy (0,18)</t>
  </si>
  <si>
    <t>A0442_NIST2024</t>
  </si>
  <si>
    <t>Rollover and Fallback Management</t>
  </si>
  <si>
    <t>Establish policies and procedures to test and manage risks related to rollover and fallback technologies for GAI systems, acknowledging that rollover and fallback may include manual processing.</t>
  </si>
  <si>
    <t>A0443_NIST2024</t>
  </si>
  <si>
    <t>Vendor Contract Review</t>
  </si>
  <si>
    <t>Review vendor contracts and avoid arbitrary or capricious termination of critical GAI technologies or vendor services and non-standard terms that may amplify or defer liability in unexpected ways and/or contribute to unauthorized data collection by vendors or third-parties (e.g., secondary data use). Consider: Clear assignment of liability and responsibility for incidents, GAI system changes over time (e.g., fine-tuning, drift, decay); Request: Notification and disclosure for serious incidents arising from third-party data and systems; Service Level Agreements (SLAs) in vendor contracts that address incident response, response times, and availability of critical support.</t>
  </si>
  <si>
    <t>A0444_NIST2024</t>
  </si>
  <si>
    <t xml:space="preserve">	Purpose Identification Factors</t>
  </si>
  <si>
    <t>When identifying intended purposes, consider factors such as internal vs. external use, narrow vs. broad application scope, fine-tuning, and varieties of data sources (e.g., grounding, retrieval-augmented generation).</t>
  </si>
  <si>
    <t>A0445_NIST2024</t>
  </si>
  <si>
    <t>Context of Use Documentation</t>
  </si>
  <si>
    <t>Determine and document the expected and acceptable GAI system context of use in collaboration with socio-cultural and other domain experts, by assessing: Assumptions and limitations; Direct value to the organization; Intended operational environment and observed usage patterns; Potential positive and negative impacts to individuals, public safety, groups, communities, organizations, democratic institutions, and the physical environment; Social norms and expectations.</t>
  </si>
  <si>
    <t>A0446_NIST2024</t>
  </si>
  <si>
    <t>Risk Measurement Planning</t>
  </si>
  <si>
    <t>Document risk measurement plans to address identified risks. Plans may include, as applicable: Individual and group cognitive biases (e.g., confirmation bias, funding bias, groupthink) for AI Actors involved in the design, implementation, and use of GAI systems; Known past GAI system incidents and failure modes; In-context use and foreseeable misuse, abuse, and off-label use; Over reliance on quantitative metrics and methodologies without sufficient awareness of their limitations in the context(s) of use; Standard measurement and structured human feedback approaches; Anticipated human-AI configurations.</t>
  </si>
  <si>
    <t>A0447_NIST2024</t>
  </si>
  <si>
    <t xml:space="preserve">	Illegal Use Identification</t>
  </si>
  <si>
    <t>Identify and document foreseeable illegal uses or applications of the GAI system that surpass organizational risk tolerances.</t>
  </si>
  <si>
    <t>A0699_Barrett2024</t>
  </si>
  <si>
    <t xml:space="preserve">Monitor Third-Party Risks  </t>
  </si>
  <si>
    <t>Monitorar riscos de terceiros</t>
  </si>
  <si>
    <t>A0399; A0726;</t>
  </si>
  <si>
    <t>A0399_NIST2024 Acceptable Use Policy (0,21); A0726_NIST2024 Information Security (0,15)</t>
  </si>
  <si>
    <t>A0448_NIST2024</t>
  </si>
  <si>
    <t>Interdisciplinary Team Formation</t>
  </si>
  <si>
    <t>Establish and empower interdisciplinary teams that reflect a wide range of capabilities, competencies, demographic groups, domain expertise, educational backgrounds, lived experiences, professions, and skills across the enterprise to inform and conduct risk measurement and management functions.</t>
  </si>
  <si>
    <r>
      <rPr>
        <rFont val="Arial"/>
        <color theme="1"/>
        <sz val="10.0"/>
      </rPr>
      <t xml:space="preserve">Os riscos e benefícios da IA ​​provenientes de </t>
    </r>
    <r>
      <rPr>
        <rFont val="Arial"/>
        <b/>
        <color theme="1"/>
        <sz val="10.0"/>
      </rPr>
      <t>recursos de terceiros</t>
    </r>
    <r>
      <rPr>
        <rFont val="Arial"/>
        <color theme="1"/>
        <sz val="10.0"/>
      </rPr>
      <t xml:space="preserve"> são </t>
    </r>
    <r>
      <rPr>
        <rFont val="Arial"/>
        <b/>
        <color theme="1"/>
        <sz val="10.0"/>
      </rPr>
      <t>monitorados regularmente</t>
    </r>
    <r>
      <rPr>
        <rFont val="Arial"/>
        <color theme="1"/>
        <sz val="10.0"/>
      </rPr>
      <t xml:space="preserve">, e </t>
    </r>
    <r>
      <rPr>
        <rFont val="Arial"/>
        <color theme="1"/>
        <sz val="10.0"/>
        <u/>
      </rPr>
      <t>controles de risco são aplicados e documentados</t>
    </r>
    <r>
      <rPr>
        <rFont val="Arial"/>
        <color theme="1"/>
        <sz val="10.0"/>
      </rPr>
      <t>.</t>
    </r>
  </si>
  <si>
    <t>2.2, 6.5, 7.3, 7.4</t>
  </si>
  <si>
    <t xml:space="preserve">2.2, 6.5, 7.3, 7.4 </t>
  </si>
  <si>
    <t>A0449_NIST2024</t>
  </si>
  <si>
    <t>Representative Data Verification</t>
  </si>
  <si>
    <t>Verify that data or benchmarks used in risk measurement, and users, participants, or subjects involved in structured GAI public feedback exercises are representative of diverse in-context user populations.</t>
  </si>
  <si>
    <t>Propagação de falhas, vulnerabilidades de segurança, viés ou violação de direitos oriundos de componentes de terceiros (datasets não curados, software/APIs, modelos pré-treinados ou infraestrutura em nuvem), resultando em contaminação de dados (data poisoning), perda de conformidade legal/IP ou dependência crítica de fornecedores sem controles adequados de governança.</t>
  </si>
  <si>
    <t>Política formal de gestão de riscos de fornecedores e cadeia de suprimentos de IA, contendo registros de due diligence, relatórios de auditoria/testes de segurança de componentes adquiridos, logs de monitoramento contínuo do desempenho e da confiabilidade das soluções de terceiros, e inventário atualizado de ativos externos com seus respectivos termos contratuais e planos de contingência.</t>
  </si>
  <si>
    <t>A0494; A0486;</t>
  </si>
  <si>
    <t>A0494_NIST2024 Feedback Independence Verification (0,16); A0486_NIST2024 Feedback Exercise Metrics (0,15)</t>
  </si>
  <si>
    <t>A0450_NIST2024</t>
  </si>
  <si>
    <t>Data Origin Practices</t>
  </si>
  <si>
    <t>Establish known assumptions and practices for determining data origin and content lineage, for documentation and evaluation purposes.</t>
  </si>
  <si>
    <t>A0459</t>
  </si>
  <si>
    <t>A0459_NIST2024 Lineage Understanding Evaluation (0,17)</t>
  </si>
  <si>
    <t>A0451_NIST2024</t>
  </si>
  <si>
    <t>Content Flow Testing</t>
  </si>
  <si>
    <t>Institute test and evaluation for data and content flows within the GAI system, including but not limited to, original data sources, data transformations, and decision-making criteria.</t>
  </si>
  <si>
    <t>Barrett et al. (2023, p. 28, 60), perfil construído sobre o NIST AI RMF 1.0 (subcategorias GOVERN 6.1/6.2 e MANAGE 3.1/3.2: "AI risks and benefits from third-party entities are managed"), orienta o monitoramento contínuo, verificação de transparência sobre dados de treino, avaliações contratuais e planos de contingência/desativação para fornecedores de software, dados ou modelos. De forma independente e complementar, a norma ISO/IEC 42001:2023 aborda a gestão de fornecedores e recursos externos de IA no controle A.9.3 (Management of third-party resources) e cláusulas de controle de cadeia de suprimentos. Custo estimado pelo grupo, pela rubrica.</t>
  </si>
  <si>
    <t>A0452_NIST2024</t>
  </si>
  <si>
    <t>Upstream Dependency Documentation</t>
  </si>
  <si>
    <t>Identify and document how the system relies on upstream data sources, including for content provenance, and if it serves as an upstream dependency for other systems.</t>
  </si>
  <si>
    <t>A0453_NIST2024</t>
  </si>
  <si>
    <t>External Network Analysis</t>
  </si>
  <si>
    <t>Observe and analyze how the GAI system interacts with external networks, and identify any potential for negative externalities, particularly where content provenance might be compromised.</t>
  </si>
  <si>
    <t>A0454_NIST2024</t>
  </si>
  <si>
    <t>Output Accuracy Assessment</t>
  </si>
  <si>
    <t>Assess the accuracy, quality, reliability, and authenticity of GAI output by comparing it to a set of known ground truth data and by using a variety of evaluation methods (e.g., human oversight and automated evaluation, proven cryptographic techniques, review of content inputs).</t>
  </si>
  <si>
    <t>A0455_NIST2024</t>
  </si>
  <si>
    <t xml:space="preserve">	Data Quality Review</t>
  </si>
  <si>
    <t>Review and document accuracy, representativeness, relevance, suitability of data used at different stages of AI life cycle.</t>
  </si>
  <si>
    <t>A0489</t>
  </si>
  <si>
    <t>A0489_NIST2024 Data Quality Evaluation (0,17)</t>
  </si>
  <si>
    <t>A0456_NIST2024</t>
  </si>
  <si>
    <t>Fact-Checking Deployment</t>
  </si>
  <si>
    <t>Deploy and document fact-checking techniques to verify the accuracy and veracity of information generated by GAI systems, especially when the information comes from multiple (or unknown) sources.</t>
  </si>
  <si>
    <t>A0061</t>
  </si>
  <si>
    <t>A0061_Eisenberg2025 Establish information quality assurance frame (0,17)</t>
  </si>
  <si>
    <t>A0457_NIST2024</t>
  </si>
  <si>
    <t>Synthetic Content Detection</t>
  </si>
  <si>
    <t>Develop and implement testing techniques to identify GAI produced content (e.g., synthetic media) that might be indistinguishable from human-generated content.</t>
  </si>
  <si>
    <t>A0458_NIST2024</t>
  </si>
  <si>
    <t xml:space="preserve">	Adversarial Testing Plans</t>
  </si>
  <si>
    <t>Implement plans for GAI systems to undergo regular adversarial testing to identify vulnerabilities and potential manipulation or misuse.</t>
  </si>
  <si>
    <t>A0063; A0721;</t>
  </si>
  <si>
    <t>A0063_Eisenberg2025 Implement adversarial testing and red team pr (0,17); A0721_NIST2024 Information Integrity; Information Security (0,16)</t>
  </si>
  <si>
    <t>A0459_NIST2024</t>
  </si>
  <si>
    <t>Lineage Understanding Evaluation</t>
  </si>
  <si>
    <t>Evaluate whether GAI operators and end-users can accurately understand content lineage and origin.</t>
  </si>
  <si>
    <t>A0450</t>
  </si>
  <si>
    <t>A0450_NIST2024 Data Origin Practices (0,17)</t>
  </si>
  <si>
    <t>A0460_NIST2024</t>
  </si>
  <si>
    <t>Transparency Training Adaptation</t>
  </si>
  <si>
    <t>Adapt existing training programs to include modules on digital content transparency</t>
  </si>
  <si>
    <t>A0389; A0527;</t>
  </si>
  <si>
    <t>A0389_NIST2024 Training Data Transparency (0,24); A0527_NIST2024 Digital Content Transparency (0,19)</t>
  </si>
  <si>
    <t>A0461_NIST2024</t>
  </si>
  <si>
    <t>Risk Management Certification</t>
  </si>
  <si>
    <t>Develop certification programs that test proficiency in managing GAI risks and interpreting content provenance, relevant to specific industry and context.</t>
  </si>
  <si>
    <t>A0701_Barrett2024</t>
  </si>
  <si>
    <t xml:space="preserve">Implement Post-deployment Monitoring Plan  </t>
  </si>
  <si>
    <t>Implementar plano de monitoramento pós-implantação</t>
  </si>
  <si>
    <t>Dirigida a governo, regulador ou ao ecossistema do setor, e não a uma organização que implanta ou opera um sistema.</t>
  </si>
  <si>
    <t>A0462_NIST2024</t>
  </si>
  <si>
    <t xml:space="preserve">	Proficiency Test Delineation</t>
  </si>
  <si>
    <t>Delineate human proficiency tests from tests of GAI capabilities.</t>
  </si>
  <si>
    <t>A0463_NIST2024</t>
  </si>
  <si>
    <t xml:space="preserve">	Configuration Outcome Monitoring</t>
  </si>
  <si>
    <t>Implement systems to continually monitor and track the outcomes of human-GAI configurations for future refinement and improvements.</t>
  </si>
  <si>
    <r>
      <rPr>
        <rFont val="Arial"/>
        <color theme="1"/>
        <sz val="10.0"/>
      </rPr>
      <t xml:space="preserve">São </t>
    </r>
    <r>
      <rPr>
        <rFont val="Arial"/>
        <b/>
        <color theme="1"/>
        <sz val="10.0"/>
      </rPr>
      <t>implementados planos de monitoramento</t>
    </r>
    <r>
      <rPr>
        <rFont val="Arial"/>
        <color theme="1"/>
        <sz val="10.0"/>
      </rPr>
      <t xml:space="preserve"> de sistemas de IA após a sua implantação, incluindo </t>
    </r>
    <r>
      <rPr>
        <rFont val="Arial"/>
        <b/>
        <color theme="1"/>
        <sz val="10.0"/>
      </rPr>
      <t>mecanismos para a coleta e avaliação de contribuições de usuários e outros atores relevantes</t>
    </r>
    <r>
      <rPr>
        <rFont val="Arial"/>
        <color theme="1"/>
        <sz val="10.0"/>
      </rPr>
      <t xml:space="preserve"> no contexto da IA, bem como </t>
    </r>
    <r>
      <rPr>
        <rFont val="Arial"/>
        <color theme="1"/>
        <sz val="10.0"/>
        <u/>
      </rPr>
      <t>procedimentos para recursos e reversão de decisões, desativação, resposta a incidentes, recuperação e gestão de mudanças</t>
    </r>
    <r>
      <rPr>
        <rFont val="Arial"/>
        <color theme="1"/>
        <sz val="10.0"/>
      </rPr>
      <t>.</t>
    </r>
  </si>
  <si>
    <r>
      <rPr>
        <rFont val="Arial"/>
        <color theme="1"/>
        <sz val="10.0"/>
      </rPr>
      <t>5.2,</t>
    </r>
    <r>
      <rPr>
        <rFont val="Arial"/>
        <b/>
        <color theme="1"/>
        <sz val="10.0"/>
      </rPr>
      <t xml:space="preserve"> 6.5, 7.3</t>
    </r>
    <r>
      <rPr>
        <rFont val="Arial"/>
        <color theme="1"/>
        <sz val="10.0"/>
      </rPr>
      <t>, 7.4</t>
    </r>
  </si>
  <si>
    <t>5.2, 6.5, 7.3, 7.4</t>
  </si>
  <si>
    <t>Degradação não detectada do desempenho, surgimento de desvios (concept drift / data drift), comportamentos emergentes nocivos ou falhas de segurança pós-implantação, resultando em decisões incorretas do sistema, impactos não mitigados sobre usuários/comunidades afetadas e ausência de resposta tempestiva a incidentes ou canal de contestação.</t>
  </si>
  <si>
    <t>Plano formal de monitoramento pós-implantação operacionalizado, contendo painéis (dashboards) de métricas contínuas de desempenho/confiabilidade, registros de testes TEVV pós-implantação, histórico de relatórios de incidentes e near-misses integrados a bases de incidentes, bem como fluxos documentados de canais de feedback, contestação e gestão de mudanças (versioning).</t>
  </si>
  <si>
    <t>A0464_NIST2024</t>
  </si>
  <si>
    <t>Stakeholder Testing Involvement</t>
  </si>
  <si>
    <t>Involve the end-users, practitioners, and operators in GAI system in prototyping and testing activities. Make sure these tests cover various scenarios, such as crisis situations or ethically sensitive contexts.</t>
  </si>
  <si>
    <t>A0465_NIST2024</t>
  </si>
  <si>
    <t xml:space="preserve">	Privacy Risk Monitoring</t>
  </si>
  <si>
    <t>Conduct periodic monitoring of AI-generated content for privacy risks; address any possible instances of PII or sensitive data exposure.</t>
  </si>
  <si>
    <t>A0681</t>
  </si>
  <si>
    <t>A0681_Barrett2024 Examine &amp; Document Privacy Risk (0,20)</t>
  </si>
  <si>
    <t>A0466_NIST2024</t>
  </si>
  <si>
    <t>IP Infringement Response</t>
  </si>
  <si>
    <t>Implement processes for responding to potential intellectual property infringement claims or other rights.</t>
  </si>
  <si>
    <t>Barrett et al. (2023, p. 61), perfil construído sobre o NIST AI RMF 1.0 (subcategoria MANAGE 4.1: "Post-deployment AI system monitoring plans are implemented, including mechanisms for capturing and evaluating input from users and other relevant AI actors, appeal and override, system decommissioning, incident response, recovery, and change management"), orienta a realização de testes TEVV pós-implantação, rodadas periódicas de red-teaming, canais de feedback/recurso e compartilhamento de informações sobre erros/incidentes. De forma independente e complementar, a norma ISO/IEC 42001:2023 exige o monitoramento contínuo e a avaliação do sistema de IA em produção na cláusula 9.2/9.3 e no controle A.8.4 (AI system monitoring). Custo estimado pelo grupo, pela rubrica.</t>
  </si>
  <si>
    <t>A0470</t>
  </si>
  <si>
    <t>A0470_NIST2024 Third-Party IP Protection (0,16)</t>
  </si>
  <si>
    <t>A0467_NIST2024</t>
  </si>
  <si>
    <t>Governance Connection</t>
  </si>
  <si>
    <t>Connect new GAI policies, procedures, and processes to existing model, data, software development, and IT governance and to legal, compliance, and risk management activities.</t>
  </si>
  <si>
    <t>A0468_NIST2024</t>
  </si>
  <si>
    <t>Training Data Curation</t>
  </si>
  <si>
    <t>Document training data curation policies, to the extent possible and according to applicable laws and policies.</t>
  </si>
  <si>
    <t>A1022; A0474;</t>
  </si>
  <si>
    <t>A1022_Uuk2024 Data curation (0,32); A0474_NIST2024 Training Data Diligence (0,19)</t>
  </si>
  <si>
    <t>A0469_NIST2024</t>
  </si>
  <si>
    <t>Data Quality Standards</t>
  </si>
  <si>
    <t>Establish policies for collection, retention, and minimum quality of data, in consideration of the following risks: Disclosure of inappropriate CBRN information; Use of Illegal or dangerous content; Offensive cyber capabilities; Training data imbalances that could give rise to harmful biases; Leak of personally identifiable information, including facial likenesses of individuals.</t>
  </si>
  <si>
    <t>A0470_NIST2024</t>
  </si>
  <si>
    <t>Third-Party IP Protection</t>
  </si>
  <si>
    <t>Implement policies and practices defining how third-party intellectual property and training data will be used, stored, and protected.</t>
  </si>
  <si>
    <t>A0466; A0650;</t>
  </si>
  <si>
    <t>A0466_NIST2024 IP Infringement Response (0,16); A0650_Barrett2024 Third-Party Risk (0,16)</t>
  </si>
  <si>
    <t>A0471_NIST2024</t>
  </si>
  <si>
    <t>Fine-Tuned Model Re-evaluation</t>
  </si>
  <si>
    <t>Re-evaluate models that were fine-tuned or enhanced on top of third-party models.</t>
  </si>
  <si>
    <t>A0511; A0789;</t>
  </si>
  <si>
    <t>A0511_NIST2024 Fine-Tuned Safety Re-evaluation (0,44); A0789_UK Government2023 Model Evaluation of System Security (0,30)</t>
  </si>
  <si>
    <t>A0472_NIST2024</t>
  </si>
  <si>
    <t>Domain Adaptation Risk Assessment</t>
  </si>
  <si>
    <t>Re-evaluate risks when adapting GAI models to new domains. Additionally, establish warning systems to determine if a GAI system is being used in a new domain where previous assumptions (relating to context of use or mapped risks such as security, and safety) may no longer hold.</t>
  </si>
  <si>
    <t>A0473_NIST2024</t>
  </si>
  <si>
    <t>PII Detection Methods</t>
  </si>
  <si>
    <t>Leverage approaches to detect the presence of PII or sensitive data in generated output text, image, video, or audio.</t>
  </si>
  <si>
    <t>A0474_NIST2024</t>
  </si>
  <si>
    <t>Training Data Diligence</t>
  </si>
  <si>
    <t>Conduct appropriate diligence on training data use to assess intellectual property, and privacy, risks, including to examine whether use of proprietary or sensitive training data is consistent with applicable laws.</t>
  </si>
  <si>
    <t>A0468; A0510;</t>
  </si>
  <si>
    <t>A0468_NIST2024 Training Data Curation (0,19); A0510_NIST2024 Training Data Harm Assessment (0,16)</t>
  </si>
  <si>
    <t>A0475_NIST2024</t>
  </si>
  <si>
    <t>Provenance Testing Practices</t>
  </si>
  <si>
    <t>Apply TEVV practices for content provenance (e.g., probing a system's synthetic data generation capabilities for potential misuse or vulnerabilities.</t>
  </si>
  <si>
    <t>A0703_Barrett2024</t>
  </si>
  <si>
    <t xml:space="preserve">Report &amp; Respond to Incidents  </t>
  </si>
  <si>
    <t>Relatar e responder a incidentes</t>
  </si>
  <si>
    <t>A0476_NIST2024</t>
  </si>
  <si>
    <t>Provenance Harm Identification</t>
  </si>
  <si>
    <t>Identify potential content provenance harms of GAI, such as misinformation or disinformation, deepfakes, including NCII, or tampered content. Enumerate and rank risks based on their likelihood and potential impact, and determine how well provenance solutions address specific risks and/or harms.</t>
  </si>
  <si>
    <t>A0477_NIST2024</t>
  </si>
  <si>
    <t>Use Disclosure Consideration</t>
  </si>
  <si>
    <t>Consider disclosing use of GAI to end users in relevant contexts, while considering the objective of disclosure, the context of use, the likelihood and magnitude of the risk posed, the audience of the disclosure, as well as the frequency of the disclosures.</t>
  </si>
  <si>
    <r>
      <rPr>
        <rFont val="Arial"/>
        <color theme="1"/>
        <sz val="10.0"/>
      </rPr>
      <t xml:space="preserve">Incidentes e erros são </t>
    </r>
    <r>
      <rPr>
        <rFont val="Arial"/>
        <b/>
        <color theme="1"/>
        <sz val="10.0"/>
      </rPr>
      <t>comunicados aos atores</t>
    </r>
    <r>
      <rPr>
        <rFont val="Arial"/>
        <color theme="1"/>
        <sz val="10.0"/>
      </rPr>
      <t xml:space="preserve"> de IA pertinentes, </t>
    </r>
    <r>
      <rPr>
        <rFont val="Arial"/>
        <color theme="1"/>
        <sz val="10.0"/>
        <u/>
      </rPr>
      <t>incluindo as comunidades afetadas</t>
    </r>
    <r>
      <rPr>
        <rFont val="Arial"/>
        <color theme="1"/>
        <sz val="10.0"/>
      </rPr>
      <t xml:space="preserve">. Processos para o acompanhamento, a resposta e a recuperação diante de incidentes e erros são seguidos e </t>
    </r>
    <r>
      <rPr>
        <rFont val="Arial"/>
        <b/>
        <color theme="1"/>
        <sz val="10.0"/>
      </rPr>
      <t>documentados</t>
    </r>
    <r>
      <rPr>
        <rFont val="Arial"/>
        <color theme="1"/>
        <sz val="10.0"/>
      </rPr>
      <t>.</t>
    </r>
  </si>
  <si>
    <r>
      <rPr>
        <rFont val="Arial"/>
        <color theme="1"/>
        <sz val="10.0"/>
      </rPr>
      <t>1.1, 3.1,</t>
    </r>
    <r>
      <rPr>
        <rFont val="Arial"/>
        <b/>
        <color theme="1"/>
        <sz val="10.0"/>
      </rPr>
      <t xml:space="preserve"> 6.5, 7.4</t>
    </r>
  </si>
  <si>
    <t>3.1, 6.5, 7.4</t>
  </si>
  <si>
    <t>A0478_NIST2024</t>
  </si>
  <si>
    <t>Risk-Based Feedback Prioritization</t>
  </si>
  <si>
    <t>Prioritize GAI structured public feedback processes based on risk assessment estimates.</t>
  </si>
  <si>
    <t>Atraso na identificação, falha na comunicação ou resposta inadequada a erros, violações ou incidentes causados pelo sistema de IA, resultando no agravamento de danos aos afetados, perda de rastreabilidade, descumprimento de obrigações regulatórias de notificação e reincidência de falhas evitáveis.</t>
  </si>
  <si>
    <t>Plano de resposta e recuperação a incidentes de IA documentado, acompanhado de um banco de dados/registro ativo de incidentes e near-misses (contendo data, severidade, impacto e ações corretivas), relatórios formais de notificação enviados às partes interessadas e comunidades afetadas, e comprovação de submissão a repositórios públicos de incidentes (como o AI Incident Database - AIID).</t>
  </si>
  <si>
    <t>A0479_NIST2024</t>
  </si>
  <si>
    <t>Adversarial Role-Playing</t>
  </si>
  <si>
    <t>Conduct adversarial role-playing exercises, GAI red-teaming, or chaos testing to identify anomalous or unforeseen failure modes.</t>
  </si>
  <si>
    <t>A0480_NIST2024</t>
  </si>
  <si>
    <t>Threat Profiling</t>
  </si>
  <si>
    <t>Profile threats and negative impacts arising from GAI systems interacting with, manipulating, or generating content, and outlining known and potential vulnerabilities and the likelihood of their occurrence.</t>
  </si>
  <si>
    <t>Barrett et al. (2023, p. 62), perfil construído sobre o NIST AI RMF 1.0 (subcategoria MANAGE 4.3: "Incidents and errors are communicated to relevant AI actors, including affected communities. Processes for tracking, responding to, and recovering from incidents and errors are followed and documented"), orienta a manutenção de banco de dados de erros/incidentes, procedimentos de notificação contínua e compartilhamento público de dados de falhas. De forma independente e complementar, a norma ISO/IEC 42001:2023 exige a gestão, tratamento e relato de incidentes de sistemas de IA (cláusula 10.1/10.2 e controles de resposta a incidentes A.8.5). Custo estimado pelo grupo, pela rubrica.</t>
  </si>
  <si>
    <t>A0481_NIST2024</t>
  </si>
  <si>
    <t>Context-Based Impact Measures</t>
  </si>
  <si>
    <t>Determine context-based measures to identify if new impacts are present due to the GAI system, including regular engagements with downstream AI Actors to identify and quantify new contexts of unanticipated impacts of GAI systems.</t>
  </si>
  <si>
    <t>A0482</t>
  </si>
  <si>
    <t>A0482_NIST2024 Input Actor Engagement (0,15)</t>
  </si>
  <si>
    <t>A0482_NIST2024</t>
  </si>
  <si>
    <t>Input Actor Engagement</t>
  </si>
  <si>
    <t>Plan regular engagements with AI Actors responsible for inputs to GAI systems, including third-party data and algorithms, to review and evaluate unanticipated impacts.</t>
  </si>
  <si>
    <t>A0481</t>
  </si>
  <si>
    <t>A0481_NIST2024 Context-Based Impact Measures (0,15)</t>
  </si>
  <si>
    <t>A0483_NIST2024</t>
  </si>
  <si>
    <t>Origin Tracing Methods</t>
  </si>
  <si>
    <t>Employ methods to trace the origin and modifications of digital content.</t>
  </si>
  <si>
    <t>A0484_NIST2024</t>
  </si>
  <si>
    <t>Provenance Analysis Tools</t>
  </si>
  <si>
    <t>Integrate tools designed to analyze content provenance and detect data anomalies, verify the authenticity of digital signatures, and identify patterns associated with misinformation or manipulation.</t>
  </si>
  <si>
    <t>A0485_NIST2024</t>
  </si>
  <si>
    <t>Demographic Metric Disaggregation</t>
  </si>
  <si>
    <t>Disaggregate evaluation metrics by demographic factors to identify any discrepancies in how content provenance mechanisms work across diverse populations.</t>
  </si>
  <si>
    <t>A0486_NIST2024</t>
  </si>
  <si>
    <t>Feedback Exercise Metrics</t>
  </si>
  <si>
    <t>Develop a suite of metrics to evaluate structured public feedback exercises informed by representative AI Actors.</t>
  </si>
  <si>
    <t>A0490; A0449;</t>
  </si>
  <si>
    <t>A0490_NIST2024 Feedback Exercise Use Cases (0,23); A0449_NIST2024 Representative Data Verification (0,15)</t>
  </si>
  <si>
    <t>A0487_NIST2024</t>
  </si>
  <si>
    <t>Novel Risk Measurement Methods</t>
  </si>
  <si>
    <t>Evaluate novel methods and technologies for the measurement of GAI-related risks including in content provenance, offensive cyber, and CBRN, while maintaining the models' ability to produce valid, reliable, and factually accurate outputs.</t>
  </si>
  <si>
    <t>A0488_NIST2024</t>
  </si>
  <si>
    <t>Equitable Output Monitoring</t>
  </si>
  <si>
    <t>Implement continuous monitoring of GAI system impacts to identify whether GAI outputs are equitable across various sub-populations. Seek active and direct feedback from affected communities via structured feedback mechanisms or red-teaming to monitor and improve outputs.</t>
  </si>
  <si>
    <t>A0489_NIST2024</t>
  </si>
  <si>
    <t xml:space="preserve"> Data Quality Evaluation</t>
  </si>
  <si>
    <t>Evaluate the quality and integrity of data used in training and the provenance of AI-generated content, for example by employing techniques like chaos engineering and seeking stakeholder feedback.</t>
  </si>
  <si>
    <t>A0455</t>
  </si>
  <si>
    <t>A0455_NIST2024 Data Quality Review (0,17)</t>
  </si>
  <si>
    <t>A0069_Eisenberg2025</t>
  </si>
  <si>
    <t>A0490_NIST2024</t>
  </si>
  <si>
    <t>Feedback Exercise Use Cases</t>
  </si>
  <si>
    <t>Establish user rights and recourse framework</t>
  </si>
  <si>
    <t>Define use cases, contexts of use, capabilities, and negative impacts where structured human feedback exercises, e.g., GAI red-teaming, would be most beneficial for GAI risk measurement and management based on the context of use.</t>
  </si>
  <si>
    <t>Estabelecer direitos dos usuários e um mecanismo de recurso</t>
  </si>
  <si>
    <t>A0486; A0493; A0419;</t>
  </si>
  <si>
    <t>A0486_NIST2024 Feedback Exercise Metrics (0,23); A0493_NIST2024 External Evaluation Engagement (0,20); A0419_NIST2024 Standardized Measurement Protocols (0,16)</t>
  </si>
  <si>
    <t>A0491_NIST2024</t>
  </si>
  <si>
    <t>Unmeasurable Risk Tracking</t>
  </si>
  <si>
    <t>Track and document risks or opportunities related to all GAI risks that cannot be measured quantitatively, including explanations as to why some risks cannot be measured (e.g., due to technological limitations, resource constraints, or trustworthy considerations). Include unmeasured risks in marginal risks.</t>
  </si>
  <si>
    <t>A0629</t>
  </si>
  <si>
    <t>A0629_Barrett2024 Risk Tracking (0,21)</t>
  </si>
  <si>
    <r>
      <rPr>
        <rFont val="Arial"/>
        <b/>
        <color theme="1"/>
        <sz val="10.0"/>
      </rPr>
      <t xml:space="preserve">Implemente mecanismos abrangentes </t>
    </r>
    <r>
      <rPr>
        <rFont val="Arial"/>
        <color theme="1"/>
        <sz val="10.0"/>
      </rPr>
      <t xml:space="preserve">para o relato por parte dos usuários, coleta de feedback, investigação de incidentes e disponibilização de recursos, </t>
    </r>
    <r>
      <rPr>
        <rFont val="Arial"/>
        <b/>
        <color theme="1"/>
        <sz val="10.0"/>
      </rPr>
      <t>incluindo</t>
    </r>
    <r>
      <rPr>
        <rFont val="Arial"/>
        <color theme="1"/>
        <sz val="10.0"/>
      </rPr>
      <t xml:space="preserve"> </t>
    </r>
    <r>
      <rPr>
        <rFont val="Arial"/>
        <color theme="1"/>
        <sz val="10.0"/>
        <u/>
      </rPr>
      <t>procedimentos claros</t>
    </r>
    <r>
      <rPr>
        <rFont val="Arial"/>
        <color theme="1"/>
        <sz val="10.0"/>
      </rPr>
      <t xml:space="preserve"> para que os usuários possam relatar problemas, solicitar explicações ou correções, recorrer de decisões e obter a devida reparação. O sistema </t>
    </r>
    <r>
      <rPr>
        <rFont val="Arial"/>
        <b/>
        <color theme="1"/>
        <sz val="10.0"/>
      </rPr>
      <t>deve ser capaz</t>
    </r>
    <r>
      <rPr>
        <rFont val="Arial"/>
        <color theme="1"/>
        <sz val="10.0"/>
      </rPr>
      <t xml:space="preserve"> de lidar com </t>
    </r>
    <r>
      <rPr>
        <rFont val="Arial"/>
        <color theme="1"/>
        <sz val="10.0"/>
        <u/>
      </rPr>
      <t>diversos tipos de preocupações dos usuários</t>
    </r>
    <r>
      <rPr>
        <rFont val="Arial"/>
        <color theme="1"/>
        <sz val="10.0"/>
      </rPr>
      <t>, incluindo erros no sistema, tratamento injusto, violações de privacidade e questões de segurança.</t>
    </r>
  </si>
  <si>
    <t>A0492_NIST2024</t>
  </si>
  <si>
    <t>Interest Group Definition</t>
  </si>
  <si>
    <t>Define relevant groups of interest (e.g., demographic groups, subject matter experts, experience with GAI technology) within the context of use as part of plans for gathering structured public feedback.</t>
  </si>
  <si>
    <r>
      <rPr>
        <rFont val="Arial"/>
        <color theme="1"/>
        <sz val="10.0"/>
      </rPr>
      <t>1.1, 2.1, 2.2, 5.2,</t>
    </r>
    <r>
      <rPr>
        <rFont val="Arial"/>
        <b/>
        <color theme="1"/>
        <sz val="10.0"/>
      </rPr>
      <t xml:space="preserve"> 6.5, 7.3, 7.4</t>
    </r>
  </si>
  <si>
    <t>1.1, 2.1, 2.2, 5.2, 6.5, 7.3, 7.4</t>
  </si>
  <si>
    <t>Incapacidade de contestação ou contestação de decisões automatizadas adversas ou de alto impacto impostas aos usuários, culminando na violação de direitos individuais (privacidade, equidade e devido processo), perpetuação de discriminação algorítmica/tratamento injusto e ocorrência de danos morais ou materiais sem mecanismo de recurso (recourse), correção ou reparação adequada.</t>
  </si>
  <si>
    <t>Mecanismo operacional de direitos e recurso dos usuários documentado e funcional, composto por procedimentos formais de triagem e investigação de incidentes, canal público/acessível para solicitação de explicações e contestação de decisões, protocolo de revisão humana de decisões contestadas e registros de auditoria (logs de solicitações, tempo de resposta e reparações/correções efetuadas).</t>
  </si>
  <si>
    <t>A0493_NIST2024</t>
  </si>
  <si>
    <t>External Evaluation Engagement</t>
  </si>
  <si>
    <t>Engage in internal and external evaluations, GAI red-teaming, impact assessments, or other structured human feedback exercises in consultation with representative AI Actors with expertise and familiarity in the context of use, and/or who are representative of the populations associated with the context of use.</t>
  </si>
  <si>
    <t>A0490; A0419;</t>
  </si>
  <si>
    <t>A0490_NIST2024 Feedback Exercise Use Cases (0,20); A0419_NIST2024 Standardized Measurement Protocols (0,16)</t>
  </si>
  <si>
    <t>A0494_NIST2024</t>
  </si>
  <si>
    <t>Feedback Independence Verification</t>
  </si>
  <si>
    <t>Eisenberg et al. (2025, p. 29, 31), no The Unified Control Framework (UCF), define o Control-028 (Establish user rights and recourse framework), exigindo rotinas para coleta de feedback, investigação de incidentes, explicação e contestação de decisões adversas em conformidade com o Colorado AI Act (Seção 6-1-1703.4). De forma independente e complementar, a ISO/IEC 42001:2023 prevê mecanismos de gestão de reclamações de partes interessadas, transparência e avaliação de impactos no controle A.5.4 (Stakeholder feedback and reporting mechanisms). Custo estimado pelo grupo, pela rubrica.</t>
  </si>
  <si>
    <t>Verify those conducting structured human feedback exercises are not directly involved in system development tasks for the same GAI model.</t>
  </si>
  <si>
    <t>A0449</t>
  </si>
  <si>
    <t>A0449_NIST2024 Representative Data Verification (0,16)</t>
  </si>
  <si>
    <t>A0495_NIST2024</t>
  </si>
  <si>
    <t>Statistical Bias Management</t>
  </si>
  <si>
    <t>Assess and manage statistical biases related to GAI content provenance through techniques such as re-sampling, re-weighting, or adversarial training.</t>
  </si>
  <si>
    <t>A0731</t>
  </si>
  <si>
    <t>A0731_NIST2024 Information Security; Harmful Bias and Homoge (0,19)</t>
  </si>
  <si>
    <t>A0496_NIST2024</t>
  </si>
  <si>
    <t>Provenance Privacy Documentation</t>
  </si>
  <si>
    <t>Document how content provenance data is tracked and how that data interacts with privacy and security. Consider: Anonymizing data to protect the privacy of human subjects; Leveraging privacy output filters; Removing any personally identifiable information (PII) to prevent potential harm or misuse.</t>
  </si>
  <si>
    <t>A0497_NIST2024</t>
  </si>
  <si>
    <t>Participation Withdrawal Options</t>
  </si>
  <si>
    <t>Provide human subjects with options to withdraw participation or revoke their consent for present or future use of their data in GAI applications.</t>
  </si>
  <si>
    <t>A0498_NIST2024</t>
  </si>
  <si>
    <t>Privacy-Enhancing Technologies</t>
  </si>
  <si>
    <t>Use techniques such as anonymization, differential privacy or other privacy-enhancing technologies to minimize the risks associated with linking AI-generated content back to individual human subjects.</t>
  </si>
  <si>
    <t>A0499_NIST2024</t>
  </si>
  <si>
    <t>Baseline Model Selection</t>
  </si>
  <si>
    <t>Consider baseline model performance on suites of benchmarks when selecting a model for fine tuning or enhancement with retrieval-augmented generation.</t>
  </si>
  <si>
    <t>A0500_NIST2024</t>
  </si>
  <si>
    <t>Capability Claims Evaluation</t>
  </si>
  <si>
    <t>Evaluate claims of model capabilities using empirically validated methods</t>
  </si>
  <si>
    <t>A0074_Eisenberg2025</t>
  </si>
  <si>
    <t>Establish third-party assessment and management framework</t>
  </si>
  <si>
    <t>Estabelecer uma estrutura de avaliação e gestão de terceiros</t>
  </si>
  <si>
    <t>A0501_NIST2024</t>
  </si>
  <si>
    <t>Pre-Deployment Results Sharing</t>
  </si>
  <si>
    <t>Share results of pre-deployment testing with relevant GAI Actors, such as those with system release approval authority</t>
  </si>
  <si>
    <t>A0502_NIST2024</t>
  </si>
  <si>
    <t>Purpose-Built Testing Environment</t>
  </si>
  <si>
    <t>Utilize a purpose-built testing environment such as NIST Dioptra to empirically evaluate GAI trustworthy characteristics.</t>
  </si>
  <si>
    <r>
      <rPr>
        <rFont val="Arial"/>
        <color theme="1"/>
        <sz val="10.0"/>
      </rPr>
      <t xml:space="preserve">Estabeleça </t>
    </r>
    <r>
      <rPr>
        <rFont val="Arial"/>
        <b/>
        <color theme="1"/>
        <sz val="10.0"/>
      </rPr>
      <t>procedimentos</t>
    </r>
    <r>
      <rPr>
        <rFont val="Arial"/>
        <color theme="1"/>
        <sz val="10.0"/>
      </rPr>
      <t xml:space="preserve"> abrangentes para </t>
    </r>
    <r>
      <rPr>
        <rFont val="Arial"/>
        <color theme="1"/>
        <sz val="10.0"/>
        <u/>
      </rPr>
      <t>documentar, avaliar e gerenciar fornecedores</t>
    </r>
    <r>
      <rPr>
        <rFont val="Arial"/>
        <color theme="1"/>
        <sz val="10.0"/>
      </rPr>
      <t xml:space="preserve"> e </t>
    </r>
    <r>
      <rPr>
        <rFont val="Arial"/>
        <b/>
        <color theme="1"/>
        <sz val="10.0"/>
      </rPr>
      <t>dependências</t>
    </r>
    <r>
      <rPr>
        <rFont val="Arial"/>
        <color theme="1"/>
        <sz val="10.0"/>
      </rPr>
      <t xml:space="preserve"> a montante na cadeia de valor de sistemas de IA, </t>
    </r>
    <r>
      <rPr>
        <rFont val="Arial"/>
        <b/>
        <color theme="1"/>
        <sz val="10.0"/>
      </rPr>
      <t>incluindo</t>
    </r>
    <r>
      <rPr>
        <rFont val="Arial"/>
        <color theme="1"/>
        <sz val="10.0"/>
      </rPr>
      <t xml:space="preserve"> requisitos de transparência, verificação de conformidade, rastreamento de dependências e planejamento de contingência.</t>
    </r>
  </si>
  <si>
    <r>
      <rPr>
        <rFont val="Arial"/>
        <color theme="1"/>
        <sz val="10.0"/>
      </rPr>
      <t>2.2,</t>
    </r>
    <r>
      <rPr>
        <rFont val="Arial"/>
        <b/>
        <color theme="1"/>
        <sz val="10.0"/>
      </rPr>
      <t xml:space="preserve"> 6.5, 7.3, 7.4</t>
    </r>
  </si>
  <si>
    <t>A0503_NIST2024</t>
  </si>
  <si>
    <t>Performance Extrapolation Avoidance</t>
  </si>
  <si>
    <t>Avoid extrapolating GAI system performance or capabilities from narrow, non-systematic, and anecdotal assessments.</t>
  </si>
  <si>
    <t>Propagação de falhas, vulnerabilidades de segurança, opacidade técnica ou descumprimento regulatório originados de componentes, fornecedores ou modelos a montante (upstream) na cadeia de valor de IA, resultando em dependência não gerenciada de terceiros (vendor lock-in), interrupções operacionais e perda de controle sobre a conformidade e integridade do sistema.</t>
  </si>
  <si>
    <t>Estrutura formal de avaliação e gestão de riscos de fornecedores/terceiros implementada, contendo relatórios de due diligence e auditoria de fornecedores, inventário atualizado de dependências a montante (software, modelos pré-treinados, APIs e dados), requisitos contratuais de transparência/conformidade documentados e planos de contingência/alternativas operacionais para falhas de terceiros.</t>
  </si>
  <si>
    <t>A0504_NIST2024</t>
  </si>
  <si>
    <t>Human Domain Knowledge Documentation</t>
  </si>
  <si>
    <t>Document the extent to which human domain knowledge is employed to improve GAI system performance, via, e.g., RLHF, fine-tuning, retrieval-augmented generation, content moderation, business rules.</t>
  </si>
  <si>
    <t>A0507</t>
  </si>
  <si>
    <t>A0507_NIST2024 Data Provenance Verification (0,16)</t>
  </si>
  <si>
    <t>A0505_NIST2024</t>
  </si>
  <si>
    <t>Source and Citation Review</t>
  </si>
  <si>
    <t>Review and verify sources and citations in GAI system outputs during pre-deployment risk measurement and ongoing monitoring activities</t>
  </si>
  <si>
    <t>Eisenberg et al. (2025, p. 30), no The Unified Control Framework (UCF), define o Control-033 (Establish third-party assessment and management framework), estabelecendo procedimentos para documentação, avaliação de conformidade, rastreamento de dependências e plano de contingência para fornecedores na cadeia de valor de IA. De forma independente e complementar, a norma ISO/IEC 42001:2023 aborda a gestão de recursos de terceiros e cadeia de suprimentos de IA nos controles A.9.3 (Management of third-party resources) e cláusulas associadas. Custo estimado pelo grupo, pela rubrica.</t>
  </si>
  <si>
    <t>A0506_NIST2024</t>
  </si>
  <si>
    <t>Anthropomorphization Tracking</t>
  </si>
  <si>
    <t>Track and document instances of anthropomorphization (e.g., human images, mentions of human feelings, cyborg imagery or motifs) in GAI system interfaces.</t>
  </si>
  <si>
    <t>A0507_NIST2024</t>
  </si>
  <si>
    <t>Data Provenance Verification</t>
  </si>
  <si>
    <t>Verify GAI system training data and TEVV data provenance, and that fine-tuning or retrieval-augmented generation data is grounded</t>
  </si>
  <si>
    <t>A0533; A0523; A0530;</t>
  </si>
  <si>
    <t>A0533_NIST2024 Data Deduplication Verification (0,22); A0523_NIST2024 Fine-Tuning Security Verification (0,21); A0530_NIST2024 GAI Model Documentation (0,20)</t>
  </si>
  <si>
    <t>A0508_NIST2024</t>
  </si>
  <si>
    <t>Security Guardrail Review</t>
  </si>
  <si>
    <t>Regularly review security and safety guardrails, especially if the GAI system is being operated in novel circumstances. This includes reviewing reasons why the GAI system was initially assessed as being safe to deploy.</t>
  </si>
  <si>
    <t>A0509_NIST2024</t>
  </si>
  <si>
    <t>Value Chain Wellbeing Assessment</t>
  </si>
  <si>
    <t>Assess adverse impacts, including health and wellbeing impacts for value chain or other AI Actors that are exposed to sexually explicit, offensive, or violent information during GAI training and maintenance.</t>
  </si>
  <si>
    <t>A0437</t>
  </si>
  <si>
    <t>A0437_NIST2024 Value Chain Risk Documentation (0,19)</t>
  </si>
  <si>
    <t>A0510_NIST2024</t>
  </si>
  <si>
    <t>Training Data Harm Assessment</t>
  </si>
  <si>
    <t>Assess existence or levels of harmful bias, intellectual property infringement, data privacy violations, obscenity, extremism, violence, or CBRN information in system training data.</t>
  </si>
  <si>
    <t>A0745; A0710; A0474;</t>
  </si>
  <si>
    <t>A0745_NIST2024 Intellectual Property; CBRN Information or Ca (0,18); A0710_NIST2024 Harmful Bias and Homogenization Assessment (0,18); A0474_NIST2024 Training Data Diligence (0,16)</t>
  </si>
  <si>
    <t>A0511_NIST2024</t>
  </si>
  <si>
    <t>Fine-Tuned Safety Re-evaluation</t>
  </si>
  <si>
    <t>Re-evaluate safety features of fine-tuned models when the negative risk exceeds organizational risk tolerance.</t>
  </si>
  <si>
    <t>A0471; A0742;</t>
  </si>
  <si>
    <t>A0471_NIST2024 Fine-Tuned Model Re-evaluation (0,44); A0742_NIST2024 Value Chain and Component Integration; Intell (0,16)</t>
  </si>
  <si>
    <t>A0512_NIST2024</t>
  </si>
  <si>
    <t>Generated Code Review</t>
  </si>
  <si>
    <t>Review GAI system outputs for validity and safety: Review generated code to assess risks that may arise from unreliable downstream decision-making.</t>
  </si>
  <si>
    <t>A0513_NIST2024</t>
  </si>
  <si>
    <t>Architecture Monitoring Verification</t>
  </si>
  <si>
    <t>Verify that GAI system architecture can monitor outputs and performance, and handle, recover from, and repair errors when security anomalies, threats and impacts are detected.</t>
  </si>
  <si>
    <t>A0514_NIST2024</t>
  </si>
  <si>
    <t>Inappropriate Query Handling</t>
  </si>
  <si>
    <t>Verify that systems properly handle queries that may give rise to inappropriate, malicious, or illegal usage, including facilitating manipulation, extortion, targeted impersonation, cyber-attacks, and weapons creation.</t>
  </si>
  <si>
    <t>A0080_Eisenberg2025</t>
  </si>
  <si>
    <t>Establish data governance and management practices</t>
  </si>
  <si>
    <t>Estabelecer práticas de governança e gestão de dados</t>
  </si>
  <si>
    <t>A0515_NIST2024</t>
  </si>
  <si>
    <t>Safety Circumvention Evaluation</t>
  </si>
  <si>
    <t>Regularly evaluate GAI system vulnerabilities to possible circumvention of safety measures.</t>
  </si>
  <si>
    <r>
      <rPr>
        <rFont val="Arial"/>
        <b/>
        <color theme="1"/>
        <sz val="10.0"/>
      </rPr>
      <t>Implementar medidas de governança</t>
    </r>
    <r>
      <rPr>
        <rFont val="Arial"/>
        <color theme="1"/>
        <sz val="10.0"/>
      </rPr>
      <t xml:space="preserve"> de dados utilizadas para o treinamento, o que inclui </t>
    </r>
    <r>
      <rPr>
        <rFont val="Arial"/>
        <b/>
        <color theme="1"/>
        <sz val="10.0"/>
      </rPr>
      <t>estabelecer uma política de direitos autorais</t>
    </r>
    <r>
      <rPr>
        <rFont val="Arial"/>
        <color theme="1"/>
        <sz val="10.0"/>
      </rPr>
      <t xml:space="preserve">, bem como </t>
    </r>
    <r>
      <rPr>
        <rFont val="Arial"/>
        <b/>
        <color theme="1"/>
        <sz val="10.0"/>
      </rPr>
      <t>identificar e documentar</t>
    </r>
    <r>
      <rPr>
        <rFont val="Arial"/>
        <color theme="1"/>
        <sz val="10.0"/>
      </rPr>
      <t xml:space="preserve"> as fontes de dados, os possíveis vieses e as medidas de mitigação adotadas.</t>
    </r>
  </si>
  <si>
    <r>
      <rPr>
        <rFont val="Arial"/>
        <color theme="1"/>
        <sz val="10.0"/>
      </rPr>
      <t>1.1, 6.3,</t>
    </r>
    <r>
      <rPr>
        <rFont val="Arial"/>
        <b/>
        <color theme="1"/>
        <sz val="10.0"/>
      </rPr>
      <t xml:space="preserve"> 6.5</t>
    </r>
    <r>
      <rPr>
        <rFont val="Arial"/>
        <color theme="1"/>
        <sz val="10.0"/>
      </rPr>
      <t>, 7.4</t>
    </r>
  </si>
  <si>
    <t>A0516_NIST2024</t>
  </si>
  <si>
    <t>Security Vulnerability Assessment</t>
  </si>
  <si>
    <t>Apply established security measures to: Assess likelihood and magnitude of vulnerabilities and threats such as backdoors, compromised dependencies, data breaches, eavesdropping, man-in-the-middle attacks, reverse engineering, autonomous agents, model theft or exposure of model weights, AI inference, bypass, extraction, and other baseline security concerns.</t>
  </si>
  <si>
    <t>1.1, 3.1, 4.1, 6.3, 6.5, 7.4</t>
  </si>
  <si>
    <t>Uso de dados de treinamento com problemas de qualidade, vieses não identificados, violação de direitos autorais (copyright) ou proveniência desconhecida, resultando em degradação de desempenho do modelo, saídas discriminatórias, disputas judiciais de propriedade intelectual e não conformidade regulatória.</t>
  </si>
  <si>
    <t>Estrutura e política de governança de dados para IA documentada, contendo inventário detalhado de fontes e proveniência dos dados de treino (data lineage), política formal de conformidade com direitos autorais/propriedade intelectual, relatórios de avaliação de viés e representatividade na amostragem, e registros de auditoria das técnicas de mitigação e limpeza aplicadas ao conjunto de dados.</t>
  </si>
  <si>
    <t>A0517_NIST2024</t>
  </si>
  <si>
    <t>Security Benchmarking</t>
  </si>
  <si>
    <t>Benchmark GAI system security and resilience related to content provenance against industry standards and best practices. Compare GAI system security features and content provenance methods against industry state-of-the-art</t>
  </si>
  <si>
    <t>A0679</t>
  </si>
  <si>
    <t>A0679_Barrett2024 Evaluate Security &amp; Resilience (0,16)</t>
  </si>
  <si>
    <t>A0518_NIST2024</t>
  </si>
  <si>
    <t>User Satisfaction Survey</t>
  </si>
  <si>
    <t>Conduct user surveys to gather user satisfaction with the AI-generated content and user perceptions of content authenticity. Analyze user feedback to identify concerns and/or current literacy levels related to content provenance and understanding of labels on content.</t>
  </si>
  <si>
    <t>Eisenberg et al. (2025, p. 30), no The Unified Control Framework (UCF), define o Control-039 (Establish data governance and management practices), exigindo medidas formais de governança sobre dados de treinamento, incluindo política de direitos autorais, documentação de fontes, identificação de vieses e mitigação aplicadas. De forma independente e complementar, a norma ISO/IEC 42001:2023 detalha a gestão e qualidade de dados para IA no controle A.6.2 (Data for AI systems) e cláusula 8.3. Custo estimado pelo grupo, pela rubrica.</t>
  </si>
  <si>
    <t>A0519_NIST2024</t>
  </si>
  <si>
    <t>Security Effectiveness Metrics</t>
  </si>
  <si>
    <t>Identify metrics that reflect the effectiveness of security measures, such as data provenance, the number of unauthorized access attempts, inference, bypass, extraction, penetrations, or provenance verification.</t>
  </si>
  <si>
    <t>A0507; A0524;</t>
  </si>
  <si>
    <t>A0507_NIST2024 Data Provenance Verification (0,17); A0524_NIST2024 Security Measure Effectiveness (0,17)</t>
  </si>
  <si>
    <t>A0520_NIST2024</t>
  </si>
  <si>
    <t>Authentication Method Reliability</t>
  </si>
  <si>
    <t>Measure reliability of content authentication methods, such as watermarking, cryptographic signatures, digital fingerprints, as well as access controls, conformity assessment, and model integrity verification, which can help support the effective implementation of content provenance techniques. Evaluate the rate of false positives and false negatives in content provenance, as well as true positives and true negatives for verification.</t>
  </si>
  <si>
    <t>A0521_NIST2024</t>
  </si>
  <si>
    <t>Security Implementation Rate</t>
  </si>
  <si>
    <t>Measure the rate at which recommendations from security checks and incidents are implemented. Assess how quickly the AI system can adapt and improve based on lessons learned from security incidents and feedback</t>
  </si>
  <si>
    <t>A0522_NIST2024</t>
  </si>
  <si>
    <t>AI Red-Teaming Resilience</t>
  </si>
  <si>
    <t>Perform AI red-teaming to assess resilience against: Abuse to facilitate attacks on other systems (e.g., malicious code generation, enhanced phishing content), GAI attacks (e.g., prompt injection), ML attacks (e.g., adversarial examples/prompts, data poisoning, membership inference, model extraction, sponge examples).</t>
  </si>
  <si>
    <t>A0531</t>
  </si>
  <si>
    <t>A0531_NIST2024 Data Exposure Red-Teaming (0,18)</t>
  </si>
  <si>
    <t>A0523_NIST2024</t>
  </si>
  <si>
    <t>Fine-Tuning Security Verification</t>
  </si>
  <si>
    <t>Verify fine-tuning does not compromise safety and security controls.</t>
  </si>
  <si>
    <t>A0507_NIST2024 Data Provenance Verification (0,21)</t>
  </si>
  <si>
    <t>A0524_NIST2024</t>
  </si>
  <si>
    <t>Security Measure Effectiveness</t>
  </si>
  <si>
    <t>Regularly assess and verify that security measures remain effective and have not been compromised.</t>
  </si>
  <si>
    <t>A0519</t>
  </si>
  <si>
    <t>A0519_NIST2024 Security Effectiveness Metrics (0,17)</t>
  </si>
  <si>
    <t>A0525_NIST2024</t>
  </si>
  <si>
    <t>Policy Violation Statistics</t>
  </si>
  <si>
    <t>Compile statistics on actual policy violations, take-down requests, and intellectual property infringement for organizational GAI systems: Analyze transparency reports across demographic groups, languages groups.</t>
  </si>
  <si>
    <t>A0526_NIST2024</t>
  </si>
  <si>
    <t>Annotator Instruction Documentation</t>
  </si>
  <si>
    <t>Document the instructions given to data annotators or AI red-teamers.</t>
  </si>
  <si>
    <t>A0527_NIST2024</t>
  </si>
  <si>
    <t>Digital Content Transparency</t>
  </si>
  <si>
    <t>Use digital content transparency solutions to enable the documentation of each instance where content is generated, modified, or shared to provide a tamper-proof history of the content, promote transparency, and enable traceability. Robust version control systems can also be applied to track changes across the AI lifecycle over time.</t>
  </si>
  <si>
    <t>A0460; A0389; A0402;</t>
  </si>
  <si>
    <t xml:space="preserve">A0147_Future of Life Institute2024
</t>
  </si>
  <si>
    <t>A0460_NIST2024 Transparency Training Adaptation (0,19); A0389_NIST2024 Training Data Transparency (0,18); A0402_NIST2024 Documentation Retention Policy (0,16)</t>
  </si>
  <si>
    <t>A0528_NIST2024</t>
  </si>
  <si>
    <t xml:space="preserve">Regular third-party penetration testing
</t>
  </si>
  <si>
    <t>User Instruction Adequacy</t>
  </si>
  <si>
    <t>Testes regulares de penetração realizados por terceiros</t>
  </si>
  <si>
    <t>Verify adequacy of GAI system user instructions through user testing.</t>
  </si>
  <si>
    <t>Realizar periodicamente testes de penetração conduzidos por especialistas externos em segurança cibernética, com o objetivo de identificar vulnerabilidades na infraestrutura utilizada para desenvolver e implantar modelos de inteligência artificial. Esses testes devem abranger a segurança digital e, quando aplicável, a segurança física, permitindo identificar e corrigir falhas antes que sejam exploradas.</t>
  </si>
  <si>
    <t>2.1, 2.2, 3.2 , 4.2 , 7.3</t>
  </si>
  <si>
    <t>2.1, 2.2, 5.1, 6.5, 7.2, 7.3</t>
  </si>
  <si>
    <t>A0529_NIST2024</t>
  </si>
  <si>
    <t>ML Explanation Application</t>
  </si>
  <si>
    <t>Apply and document ML explanation results such as: Analysis of embeddings, Counterfactual prompts, Gradient-based attributions, Model compression/surrogate models, Occlusion/term reduction.</t>
  </si>
  <si>
    <t>2.1, 2.2, 3.2, 4.2, 5.1, 7.2, 7.3</t>
  </si>
  <si>
    <t>Exploração de vulnerabilidades de segurança na infraestrutura de desenvolvimento e implantação de sistemas de IA, permitindo acessos não autorizados, vazamento de dados ou comprometimento do sistema.</t>
  </si>
  <si>
    <t>A0418</t>
  </si>
  <si>
    <t>Relatórios de testes de penetração realizados por terceiros, contendo vulnerabilidades identificadas, nível de criticidade, recomendações e registros das correções implementadas.</t>
  </si>
  <si>
    <t>A0418_NIST2024 Risk Measurement Improvement (0,23)</t>
  </si>
  <si>
    <t>A0530_NIST2024</t>
  </si>
  <si>
    <t>GAI Model Documentation</t>
  </si>
  <si>
    <t>Document GAI model details including: Proposed use and organizational value; Assumptions and limitations, Data collection methodologies; Data provenance; Data quality; Model architecture (e.g., convolutional neural network, transformers, etc.); Optimization objectives; Training algorithms; RLHF approaches; Fine-tuning or retrieval-augmented generation approaches; Evaluation data; Ethical considerations; Legal and regulatory requirements.</t>
  </si>
  <si>
    <t>A0507_NIST2024 Data Provenance Verification (0,20)</t>
  </si>
  <si>
    <t>A0531_NIST2024</t>
  </si>
  <si>
    <t>Data Exposure Red-Teaming</t>
  </si>
  <si>
    <t>Conduct AI red-teaming to assess issues such as: Outputting of training data samples, and subsequent reverse engineering, model extraction, and membership inference risks; Revealing biometric, confidential, copyrighted, licensed, patented, personal, proprietary, sensitive, or trade-marked information; Tracking or revealing location information of users or members of training datasets.</t>
  </si>
  <si>
    <t>A0522</t>
  </si>
  <si>
    <t>A0522_NIST2024 AI Red-Teaming Resilience (0,18)</t>
  </si>
  <si>
    <t>A0532_NIST2024</t>
  </si>
  <si>
    <t>End-User Expectation Engagement</t>
  </si>
  <si>
    <t>Engage directly with end-users and other stakeholders to understand their expectations and concerns regarding content provenance. Use this feedback to guide the design of provenance data-tracking techniques.</t>
  </si>
  <si>
    <t>Future of Life Institute (2024) Recomendação de testes independentes de segurança para identificar vulnerabilidades em sistemas de IA.</t>
  </si>
  <si>
    <t>A0533_NIST2024</t>
  </si>
  <si>
    <t>Data Deduplication Verification</t>
  </si>
  <si>
    <t>Verify deduplication of GAI training data samples, particularly regarding synthetic data</t>
  </si>
  <si>
    <t>A0507_NIST2024 Data Provenance Verification (0,22)</t>
  </si>
  <si>
    <t>A0534_NIST2024</t>
  </si>
  <si>
    <t>Bias Benchmark Application</t>
  </si>
  <si>
    <t>Apply use-case appropriate benchmarks (e.g., Bias Benchmark Questions, Real Hateful or Harmful Prompts, Winogender Schemas15) to quantify systemic bias, stereotyping, denigration, and hateful content in GAI system outputs; Document assumptions and limitations of benchmarks, including any actual or possible training/test data cross contamination, relative to in-context deployment environment.</t>
  </si>
  <si>
    <t>A0707_NIST2024</t>
  </si>
  <si>
    <t xml:space="preserve">Harmful Bias and Homogenization Assessment </t>
  </si>
  <si>
    <t>Conduct fairness assessments to measure systemic bias. Measure GAI system
performance across demographic groups and subgroups, addressing both
quality of service and any allocation of services and resources. Quantify harms
using: field testing with sub-group populations to determine likelihood of
exposure to generated content exhibiting harmful bias, AI red-teaming with
counterfactual and low-context (e.g., “leader,” “bad guys”) prompts. For ML
pipelines or business processes with categorical or numeric outcomes that rely
on GAI, apply general fairness metrics (e.g., demographic parity, equalized odds,
equal opportunity, statistical hypothesis tests), to the pipeline or business
outcome where appropriate; Custom, context-specific metrics developed in
collaboration with domain experts and affected communities; Measurements of
the prevalence of denigration in generated content in deployment (e.g., subsampling a fraction of traffic and manually annotating denigrating content)</t>
  </si>
  <si>
    <t>A0716</t>
  </si>
  <si>
    <t>A0716_NIST2024 Harmful Bias and Homogenization Assessments (0,15)</t>
  </si>
  <si>
    <t>A0708_NIST2024</t>
  </si>
  <si>
    <t>Assessments for Environmental; Harmful Bias and Homogenization</t>
  </si>
  <si>
    <t>Identify the classes of individuals, groups, or environmental ecosystems which
might be impacted by GAI systems through direct engagement with potentially
impacted communities.</t>
  </si>
  <si>
    <t>A0716; A0758; A0720;</t>
  </si>
  <si>
    <t>A0716_NIST2024 Harmful Bias and Homogenization Assessments (0,28); A0758_NIST2024 Harmful Bias and Homogenization (0,22); A0720_NIST2024 Human-AI Configuration; Information Integrity (0,21)</t>
  </si>
  <si>
    <t>A0709_NIST2024</t>
  </si>
  <si>
    <t>Harmful Bias and Homogenization Data Review</t>
  </si>
  <si>
    <t>Review, document, and measure sources of bias in GAI training and TEVV data:
Differences in distributions of outcomes across and within groups, including
intersecting groups; Completeness, representativeness, and balance of data
sources; demographic group and subgroup coverage in GAI system training
data; Forms of latent systemic bias in images, text, audio, embeddings, or other
complex or unstructured data; Input data features that may serve as proxies for
demographic group membership (i.e., image metadata, language dialect) or
otherwise give rise to emergent bias within GAI systems; The extent to which
the digital divide may negatively impact representativeness in GAI system
training and TEVV data; Filtering of hate speech or content in GAI system
training data; Prevalence of GAI-generated data in GAI system training data</t>
  </si>
  <si>
    <t>A0710_NIST2024</t>
  </si>
  <si>
    <t>Assess the proportion of synthetic to non-synthetic training data and verify
training data is not overly homogenous or GAI-produced to mitigate concerns of
model collapse.</t>
  </si>
  <si>
    <t>A0758; A0731; A0716;</t>
  </si>
  <si>
    <t>A0758_NIST2024 Harmful Bias and Homogenization (0,20); A0731_NIST2024 Information Security; Harmful Bias and Homoge (0,19); A0716_NIST2024 Harmful Bias and Homogenization Assessments (0,18)</t>
  </si>
  <si>
    <t>A0711_NIST2024</t>
  </si>
  <si>
    <t>Dangerous, Violent, or Hateful Content Mitigation</t>
  </si>
  <si>
    <t>Assess safety to physical environments when deploying GAI systems</t>
  </si>
  <si>
    <t>A0759; A0732; A0728;</t>
  </si>
  <si>
    <t>A0759_NIST2024 Human-AI Configuration; Dangerous, Violent, o (0,29); A0732_NIST2024 CBRN Information or Capabilities; Obscene, De (0,28); A0728_NIST2024 CBRN Information or Capabilities; Obscene, De (0,27)</t>
  </si>
  <si>
    <t>A0712_NIST2024</t>
  </si>
  <si>
    <t>Environmental Degradation Minimisation</t>
  </si>
  <si>
    <t>Document anticipated environmental impacts of model development,
maintenance, and deployment in product design decisions.</t>
  </si>
  <si>
    <t>A0713_NIST2024</t>
  </si>
  <si>
    <t xml:space="preserve">Environmental Impact Assessment </t>
  </si>
  <si>
    <t>Measure or estimate environmental impacts (e.g., energy and water
consumption) for training, fine tuning, and deploying models: Verify tradeoffs
between resources used at inference time versus additional resources required
at training time.</t>
  </si>
  <si>
    <t>A0683; A0073;</t>
  </si>
  <si>
    <t>A0683_Barrett2024 Assess Environmental Impact (0,19); A0073_Eisenberg2025 Implement environmental impact management sys (0,17)</t>
  </si>
  <si>
    <t>A0714_NIST2024</t>
  </si>
  <si>
    <t>Effectiveness of Carbon Capture</t>
  </si>
  <si>
    <t xml:space="preserve">Verify effectiveness of carbon capture or offset programs for GAI training and
applications, and address green-washing concerns. </t>
  </si>
  <si>
    <t>A0942_Gipiškis2024</t>
  </si>
  <si>
    <t xml:space="preserve">Scope red-teaming activities based on deploy- ment context
</t>
  </si>
  <si>
    <t>Adequação das atividades de Red Teaming ao contexto de implantação</t>
  </si>
  <si>
    <t>A0715_NIST2024</t>
  </si>
  <si>
    <t>Adaptar as atividades de Red Teaming de acordo com o contexto de implantação do sistema de inteligência artificial, considerando sua finalidade, os riscos envolvidos e o ambiente operacional. A avaliação deve considerar a diversidade de usuários, os possíveis casos de uso, a sensibilidade do domínio de aplicação, a escala de implantação e as vulnerabilidades conhecidas do modelo ou de sistemas semelhantes.</t>
  </si>
  <si>
    <t>Confabulation; Information Integrity; Harmful Bias and Homogenization Measurement Error Models</t>
  </si>
  <si>
    <t xml:space="preserve">2.1, 5.2, 6.5, 7.4 </t>
  </si>
  <si>
    <t xml:space="preserve">Create measurement error models for pre-deployment metrics to demonstrate
construct validity for each metric (i.e., does the metric effectively operationalize
the desired concept): Measure or estimate, and document, biases or statistical
variance in applied metrics or structured human feedback processes; Leverage
domain expertise when modeling complex societal constructs such as hateful
content. </t>
  </si>
  <si>
    <t>3.1, 3.2, 5.1, 6.5, 7.2, 7.3, 7.4</t>
  </si>
  <si>
    <t>A0723; A0719; A0720;</t>
  </si>
  <si>
    <t>2.1 ,3.1 ,3.2 ,5.1 ,6.5 ,7.2 ,7.3 ,7.4</t>
  </si>
  <si>
    <t>Falhas de segurança e comportamentos prejudiciais não identificados devido à realização de testes que não consideram o contexto real de utilização do sistema de IA.</t>
  </si>
  <si>
    <t>Plano de Red Teaming contextualizado, cenários de ataque testados, relatórios de vulnerabilidades encontradas e registros das medidas corretivas adotadas.</t>
  </si>
  <si>
    <t>A0723_NIST2024 Information Integrity; Harmful Bias and Homog (0,20); A0719_NIST2024 Human-AI Configuration; Information Integrity (0,16); A0720_NIST2024 Human-AI Configuration; Information Integrity (0,16)</t>
  </si>
  <si>
    <t>A0716_NIST2024</t>
  </si>
  <si>
    <t>Harmful Bias and Homogenization Assessments</t>
  </si>
  <si>
    <t>Conduct impact assessments on how AI-generated content might affect
different social, economic, and cultural groups.</t>
  </si>
  <si>
    <t>A0708; A0758; A0731;</t>
  </si>
  <si>
    <t>A0708_NIST2024 Assessments for Environmental; Harmful Bias a (0,28); A0758_NIST2024 Harmful Bias and Homogenization (0,24); A0731_NIST2024 Information Security; Harmful Bias and Homoge (0,21)</t>
  </si>
  <si>
    <t>A0717_NIST2024</t>
  </si>
  <si>
    <t>Human-AI Configuration; Information Integrity Studies</t>
  </si>
  <si>
    <t>Conduct studies to understand how end users perceive and interact with GAI
content and accompanying content provenance within context of use. Assess
whether the content aligns with their expectations and how they may act upon
the information presented.</t>
  </si>
  <si>
    <t>A0757; A0720; A0719;</t>
  </si>
  <si>
    <t>A0757_NIST2024 Human-AI Configuration; Information Integrity (0,26); A0720_NIST2024 Human-AI Configuration; Information Integrity (0,25); A0719_NIST2024 Human-AI Configuration; Information Integrity (0,22)</t>
  </si>
  <si>
    <t>Gipiškis (2024) Orientações sobre a adaptação de testes adversariais ao contexto de utilização e aos riscos do sistema.</t>
  </si>
  <si>
    <t>A0718_NIST2024</t>
  </si>
  <si>
    <t>Harmful Bias and Homogenization Evaluation</t>
  </si>
  <si>
    <t xml:space="preserve">Evaluate potential biases and stereotypes that could emerge from the AIgenerated content using appropriate methodologies including computational
testing methods as well as evaluating structured feedback input (AI Deployment, Domain Experts, End-Users, Operation and Monitoring, TEVV) </t>
  </si>
  <si>
    <t>A0723; A0735; A0719;</t>
  </si>
  <si>
    <t>A0723_NIST2024 Information Integrity; Harmful Bias and Homog (0,34); A0735_NIST2024 Human-AI Configuration; Harmful Bias and Homo (0,22); A0719_NIST2024 Human-AI Configuration; Information Integrity (0,21)</t>
  </si>
  <si>
    <t>A0719_NIST2024</t>
  </si>
  <si>
    <t>Human-AI Configuration; Information Integrity; Harmful Bias and Homogenization</t>
  </si>
  <si>
    <t xml:space="preserve">Provide input for training materials about the capabilities and limitations of GAI
systems related to digital content transparency for AI Actors, other
professionals, and the public about the societal impacts of AI and the role of
diverse and inclusive content generation (AI Deployment, Affected Individuals and Communities, End-Users, Operation and Monitoring, TEVV) </t>
  </si>
  <si>
    <t>A0723; A0720; A0755;</t>
  </si>
  <si>
    <t>A0723_NIST2024 Information Integrity; Harmful Bias and Homog (0,34); A0720_NIST2024 Human-AI Configuration; Information Integrity (0,31); A0755_NIST2024 Human-AI Configuration; Harmful Bias and Homo (0,27)</t>
  </si>
  <si>
    <t>A0720_NIST2024</t>
  </si>
  <si>
    <t>Record and integrate structured feedback about content provenance from
operators, users, and potentially impacted communities through the use of
methods such as user research studies, focus groups, or community forums.
Actively seek feedback on generated content quality and potential biases.
Assess the general awareness among end users and impacted communities
about the availability of these feedback channels.</t>
  </si>
  <si>
    <t>A0719; A0735; A0717;</t>
  </si>
  <si>
    <t>A0719_NIST2024 Human-AI Configuration; Information Integrity (0,31); A0735_NIST2024 Human-AI Configuration; Harmful Bias and Homo (0,26); A0717_NIST2024 Human-AI Configuration; Information Integrity (0,25)</t>
  </si>
  <si>
    <t>A0721_NIST2024</t>
  </si>
  <si>
    <t>Information Integrity; Information Security</t>
  </si>
  <si>
    <t xml:space="preserve">Conduct adversarial testing at a regular cadence to map and measure GAI risks,
including tests to address attempts to deceive or manipulate the application of
provenance techniques or other misuses. Identify vulnerabilities and
understand potential misuse scenarios and unintended outputs (AI Deployment, Domain Experts, End-Users, Operation and Monitoring, TEVV) </t>
  </si>
  <si>
    <t>A0724; A0723; A0725;</t>
  </si>
  <si>
    <t>A0724_NIST2024 Information Integrity (0,28); A0723_NIST2024 Information Integrity; Harmful Bias and Homog (0,25); A0725_NIST2024 Human-AI Configuration; Information Security (0,22)</t>
  </si>
  <si>
    <t>A0722_NIST2024</t>
  </si>
  <si>
    <t>Human-AI Configuration; Confabulation; Information Security</t>
  </si>
  <si>
    <t>Evaluate GAI system performance in real-world scenarios to observe its
behavior in practical environments and reveal issues that might not surface in
controlled and optimized testing environments.</t>
  </si>
  <si>
    <t>A0757; A0725; A0752;</t>
  </si>
  <si>
    <t>A0757_NIST2024 Human-AI Configuration; Information Integrity (0,20); A0725_NIST2024 Human-AI Configuration; Information Security (0,20); A0752_NIST2024 CBRN Information or Capabilities; Confabulati (0,18)</t>
  </si>
  <si>
    <t>A0723_NIST2024</t>
  </si>
  <si>
    <t>Information Integrity; Harmful Bias and Homogenization</t>
  </si>
  <si>
    <t xml:space="preserve">Implement interpretability and explainability methods to evaluate GAI system
decisions and verify alignment with intended purpose. (AI Deployment, Domain Experts, End-Users, Operation and Monitoring, TEVV) </t>
  </si>
  <si>
    <t>A0718; A0719; A0724;</t>
  </si>
  <si>
    <t>A0718_NIST2024 Harmful Bias and Homogenization Evaluation (0,34); A0719_NIST2024 Human-AI Configuration; Information Integrity (0,34); A0724_NIST2024 Information Integrity (0,34)</t>
  </si>
  <si>
    <t>A0724_NIST2024</t>
  </si>
  <si>
    <t>Information Integrity</t>
  </si>
  <si>
    <t xml:space="preserve">Monitor and document instances where human operators or other systems
override the GAI's decisions. Evaluate these cases to understand if the overrides
are linked to issues related to content provenance. (AI Deployment, Domain Experts, End-Users, Operation and Monitoring, TEVV). </t>
  </si>
  <si>
    <t>A0723; A0721; A0725;</t>
  </si>
  <si>
    <t>A0723_NIST2024 Information Integrity; Harmful Bias and Homog (0,34); A0721_NIST2024 Information Integrity; Information Security (0,28); A0725_NIST2024 Human-AI Configuration; Information Security (0,25)</t>
  </si>
  <si>
    <t>A0725_NIST2024</t>
  </si>
  <si>
    <t>Human-AI Configuration; Information Security</t>
  </si>
  <si>
    <t xml:space="preserve">Verify and document the incorporation of results of structured public feedback
exercises into design, implementation, deployment approval (“go”/“no-go”
decisions), monitoring, and decommission decisions. (AI Deployment, Domain Experts, End-Users, Operation and Monitoring, TEVV) </t>
  </si>
  <si>
    <t>A0719; A0724; A0723;</t>
  </si>
  <si>
    <t>A0719_NIST2024 Human-AI Configuration; Information Integrity (0,26); A0724_NIST2024 Information Integrity (0,25); A0723_NIST2024 Information Integrity; Harmful Bias and Homog (0,25)</t>
  </si>
  <si>
    <t>A0726_NIST2024</t>
  </si>
  <si>
    <t>Information Security</t>
  </si>
  <si>
    <t>Document trade-offs, decision processes, and relevant measurement and
feedback results for risks that do not surpass organizational risk tolerance, for
example, in the context of model release: Consider different approaches for
model release, for example, leveraging a staged release approach. Consider
release approaches in the context of the model and its projected use cases.
Mitigate, transfer, or avoid risks that surpass organizational risk tolerances.</t>
  </si>
  <si>
    <t xml:space="preserve">A0953_Gipiškis2024
</t>
  </si>
  <si>
    <t>A0447</t>
  </si>
  <si>
    <t xml:space="preserve">Evaluations for truthful outputs
</t>
  </si>
  <si>
    <t>Avaliação da veracidade das respostas produzidas pela IA</t>
  </si>
  <si>
    <t>A0447_NIST2024 Illegal Use Identification (0,15)</t>
  </si>
  <si>
    <t>A0727_NIST2024</t>
  </si>
  <si>
    <t>Human-AI Configuration</t>
  </si>
  <si>
    <t>Realizar avaliações para verificar a veracidade e a precisão das respostas produzidas por sistemas de inteligência artificial. Os testes devem identificar informações incorretas, respostas enganosas e limitações do modelo, incluindo situações em que existem concepções equivocadas amplamente aceitas pela população. O objetivo é reduzir a propagação de informações falsas e melhorar a confiabilidade das respostas geradas.</t>
  </si>
  <si>
    <t>Monitor the robustness and effectiveness of risk controls and mitigation plans
(e.g., via red-teaming, field testing, participatory engagements, performance
assessments, user feedback mechanisms). (AI Development, AI Deployment, AI Impact Assessment, Operation and Monitoring)</t>
  </si>
  <si>
    <t xml:space="preserve"> 3.1, 6.5 , 7.3 , 7.4</t>
  </si>
  <si>
    <t>A0733; A0735; A0725;</t>
  </si>
  <si>
    <t>Geração e disseminação de informações falsas, imprecisas ou enganosas por sistemas de IA, podendo provocar decisões incorretas e prejudicar os usuários.</t>
  </si>
  <si>
    <t>Relatórios de avaliação da veracidade das respostas, conjuntos de perguntas e respostas utilizados nos testes, métricas de precisão factual e registros de falhas identificadas.</t>
  </si>
  <si>
    <t>A0733_NIST2024 Human-AI Configuration (0,31); A0735_NIST2024 Human-AI Configuration; Harmful Bias and Homo (0,25); A0725_NIST2024 Human-AI Configuration; Information Security (0,19)</t>
  </si>
  <si>
    <t>A0728_NIST2024</t>
  </si>
  <si>
    <t>CBRN Information or Capabilities; Obscene, Degrading, and/or Abusive Content; Harmful Bias and Homogenization; Dangerous, Violent, or Hateful Content</t>
  </si>
  <si>
    <t xml:space="preserve">Compare GAI system outputs against pre-defined organization risk tolerance,
guidelines, and principles, and review and test AI-generated content against
these guidelines. (AI Deployment, AI Impact Assessment, Governance and Oversight, Operation and Monitoring). </t>
  </si>
  <si>
    <t>A0732; A0711; A0731;</t>
  </si>
  <si>
    <t>A0732_NIST2024 CBRN Information or Capabilities; Obscene, De (0,74); A0711_NIST2024 Dangerous, Violent, or Hateful Content Mitiga (0,27); A0731_NIST2024 Information Security; Harmful Bias and Homoge (0,26)</t>
  </si>
  <si>
    <t>A0729_NIST2024</t>
  </si>
  <si>
    <t xml:space="preserve">Document training data sources to trace the origin and provenance of AI generated content (AI Deployment, AI Impact Assessment, Governance and Oversight, Operation and Monitoring). </t>
  </si>
  <si>
    <t>A0734; A0730; A0733;</t>
  </si>
  <si>
    <t>A0734_NIST2024 Information Integrity (0,44); A0730_NIST2024 Information Integrity (0,39); A0733_NIST2024 Human-AI Configuration (0,38)</t>
  </si>
  <si>
    <t>A0730_NIST2024</t>
  </si>
  <si>
    <t>Evaluate feedback loops between GAI system content provenance and human
reviewers, and update where needed. Implement real-time monitoring systems
to affirm that content provenance protocols remain effective. (AI Deployment, AI Impact Assessment, Governance and Oversight, Operation and Monitoring)</t>
  </si>
  <si>
    <t>A0729; A0734; A0747;</t>
  </si>
  <si>
    <t>Gipiškis (2024)  Orientações para avaliação da precisão factual e identificação de respostas incorretas.</t>
  </si>
  <si>
    <t>A0729_NIST2024 Information Integrity (0,39); A0734_NIST2024 Information Integrity (0,34); A0747_NIST2024 Information Integrity (0,25)</t>
  </si>
  <si>
    <t>A0731_NIST2024</t>
  </si>
  <si>
    <t>Information Security; Harmful Bias and Homogenization</t>
  </si>
  <si>
    <t xml:space="preserve">Evaluate GAI content and data for representational biases and employ
techniques such as re-sampling, re-ranking, or adversarial training to mitigate
biases in the generated content. (AI Deployment, AI Impact Assessment, Governance and Oversight, Operation and Monitoring). </t>
  </si>
  <si>
    <t>A0729; A0735; A0732;</t>
  </si>
  <si>
    <t>A0729_NIST2024 Information Integrity (0,32); A0735_NIST2024 Human-AI Configuration; Harmful Bias and Homo (0,30); A0732_NIST2024 CBRN Information or Capabilities; Obscene, De (0,27)</t>
  </si>
  <si>
    <t>A0732_NIST2024</t>
  </si>
  <si>
    <t xml:space="preserve">Engage in due diligence to analyze GAI output for harmful content, potential
misinformation, and CBRN-related or NCII content. (AI Deployment, AI Impact Assessment, Governance and Oversight, Operation and Monitoring). </t>
  </si>
  <si>
    <t>A0728; A0711; A0731;</t>
  </si>
  <si>
    <t>A0728_NIST2024 CBRN Information or Capabilities; Obscene, De (0,74); A0711_NIST2024 Dangerous, Violent, or Hateful Content Mitiga (0,28); A0731_NIST2024 Information Security; Harmful Bias and Homoge (0,27)</t>
  </si>
  <si>
    <t>A0733_NIST2024</t>
  </si>
  <si>
    <t>Use feedback from internal and external AI Actors, users, individuals, and
communities, to assess impact of AI-generated content. (AI Deployment, AI Impact Assessment, Governance and Oversight, Operation and Monitoring).</t>
  </si>
  <si>
    <t>A0729; A0735; A0727;</t>
  </si>
  <si>
    <t>A0729_NIST2024 Information Integrity (0,38); A0735_NIST2024 Human-AI Configuration; Harmful Bias and Homo (0,37); A0727_NIST2024 Human-AI Configuration (0,31)</t>
  </si>
  <si>
    <t>A0734_NIST2024</t>
  </si>
  <si>
    <t>Use real-time auditing tools where they can be demonstrated to aid in the
tracking and validation of the lineage and authenticity of AI-generated data. (AI Deployment, AI Impact Assessment, Governance and Oversight, Operation and Monitoring).</t>
  </si>
  <si>
    <t>A0729; A0730; A0733;</t>
  </si>
  <si>
    <t>A0729_NIST2024 Information Integrity (0,44); A0730_NIST2024 Information Integrity (0,34); A0733_NIST2024 Human-AI Configuration (0,28)</t>
  </si>
  <si>
    <t>A0735_NIST2024</t>
  </si>
  <si>
    <t>Human-AI Configuration; Harmful Bias and Homogenization</t>
  </si>
  <si>
    <t xml:space="preserve">Use structured feedback mechanisms to solicit and capture user input about AI generated content to detect subtle shifts in quality or alignment with
community and societal values. (AI Deployment, AI Impact Assessment, Governance and Oversight, Operation and Monitoring). </t>
  </si>
  <si>
    <t>A0733; A0755; A0731;</t>
  </si>
  <si>
    <t>A0733_NIST2024 Human-AI Configuration (0,37); A0755_NIST2024 Human-AI Configuration; Harmful Bias and Homo (0,34); A0731_NIST2024 Information Security; Harmful Bias and Homoge (0,30)</t>
  </si>
  <si>
    <t>A0736_NIST2024</t>
  </si>
  <si>
    <t>Data Privacy; Intellectual Property; Information Integrity; Confabulation; Harmful Bias and Homogenization</t>
  </si>
  <si>
    <t xml:space="preserve">Consider opportunities to responsibly use synthetic data and other privacy
enhancing techniques in GAI development, where appropriate and applicable,
match the statistical properties of real-world data without disclosing personally
identifiable information or contributing to homogenization. </t>
  </si>
  <si>
    <t>A0743; A0723; A0510;</t>
  </si>
  <si>
    <t>A0743_NIST2024 Data Privacy; Information Security; Value Cha (0,20); A0723_NIST2024 Information Integrity; Harmful Bias and Homog (0,18); A0510_NIST2024 Training Data Harm Assessment (0,16)</t>
  </si>
  <si>
    <t>A0737_NIST2024</t>
  </si>
  <si>
    <t>Value Chain and Component Integration</t>
  </si>
  <si>
    <t>Develop and update GAI system incident response and recovery plans and
procedures to address the following: Review and maintenance of policies and
procedures to account for newly encountered uses; Review and maintenance of
policies and procedures for detection of unanticipated uses; Verify response
and recovery plans account for the GAI system value chain; Verify response and
recovery plans are updated for and include necessary details to communicate
with downstream GAI system Actors: Points-of-Contact (POC), Contact
information, notification format. (AI Deployment, Operation and Monitoring)</t>
  </si>
  <si>
    <t>A0746; A0744; A0748;</t>
  </si>
  <si>
    <t>A0964_Gipiškis2024</t>
  </si>
  <si>
    <t xml:space="preserve">Bow-tie analysis
</t>
  </si>
  <si>
    <t>Análise de riscos utilizando o método Bow-tie</t>
  </si>
  <si>
    <t>A0746_NIST2024 Information Integrity; Information Security;  (0,22); A0744_NIST2024 Value Chain and Component Integration (0,22); A0748_NIST2024 Information Integrity; Value Chain and Compon (0,20)</t>
  </si>
  <si>
    <t>A0738_NIST2024</t>
  </si>
  <si>
    <t>Aplicar o método Bow-tie para identificar e analisar eventos de risco associados a sistemas de inteligência artificial. A análise deve representar visualmente o evento indesejado, suas possíveis causas, suas consequências e os controles existentes. Devem ser identificadas medidas preventivas para reduzir a probabilidade de ocorrência do evento e medidas reativas para minimizar seus impactos caso ele aconteça, permitindo avaliar a eficácia dos controles de segurança implementados.</t>
  </si>
  <si>
    <t xml:space="preserve">3.1, 6.5 , 7.3 , 7.4 </t>
  </si>
  <si>
    <t>Establish and maintain communication plans to inform AI stakeholders as part of
the deactivation or disengagement process of a specific GAI system (including for
open-source models) or context of use, including reasons, workarounds, user
access removal, alternative processes, contact information, etc.</t>
  </si>
  <si>
    <t xml:space="preserve">6.5 , 7.3 , 7.4 </t>
  </si>
  <si>
    <t>Identificação insuficiente das causas e consequências de eventos indesejados relacionados à IA, resultando em controles preventivos e corretivos inadequados.</t>
  </si>
  <si>
    <t>A0760; A0749; A0739;</t>
  </si>
  <si>
    <t>Diagramas Bow-tie documentados, registros de identificação de ameaças e consequências, lista de barreiras preventivas e mitigadoras e relatórios de avaliação dos controles.</t>
  </si>
  <si>
    <t>A0760_NIST2024 Human-AI Configuration (0,19); A0749_NIST2024 Human-AI Configuration (0,19); A0739_NIST2024 Information Security (0,17)</t>
  </si>
  <si>
    <t>A0739_NIST2024</t>
  </si>
  <si>
    <t>Establish and maintain procedures for escalating GAI system incidents to the
organizational risk management authority when specific criteria for deactivation
or disengagement is met for a particular context of use or for the GAI system as a
whole.</t>
  </si>
  <si>
    <t>A0740; A0741; A0752;</t>
  </si>
  <si>
    <t>A0740_NIST2024 Information Security (0,28); A0741_NIST2024 Information Security (0,28); A0752_NIST2024 CBRN Information or Capabilities; Confabulati (0,17)</t>
  </si>
  <si>
    <t>A0740_NIST2024</t>
  </si>
  <si>
    <t>Establish and maintain procedures for the remediation of issues which trigger
incident response processes for the use of a GAI system, and provide stakeholders
timelines associated with the remediation plan</t>
  </si>
  <si>
    <t>Gipiškis (2024)  Aplicação da análise Bow-tie para identificação de causas, consequências e controles de riscos.</t>
  </si>
  <si>
    <t>A0739; A0741; A0752;</t>
  </si>
  <si>
    <t>A0739_NIST2024 Information Security (0,28); A0741_NIST2024 Information Security (0,17); A0752_NIST2024 CBRN Information or Capabilities; Confabulati (0,17)</t>
  </si>
  <si>
    <t>A0741_NIST2024</t>
  </si>
  <si>
    <t>Establish and regularly review specific criteria that warrants the deactivation of
GAI systems in accordance with set risk tolerances and appetites.</t>
  </si>
  <si>
    <t>A0739; A0740;</t>
  </si>
  <si>
    <t>A0739_NIST2024 Information Security (0,28); A0740_NIST2024 Information Security (0,17)</t>
  </si>
  <si>
    <t>A0742_NIST2024</t>
  </si>
  <si>
    <t>Value Chain and Component Integration; Intellectual Property</t>
  </si>
  <si>
    <t>Apply organizational risk tolerances and controls (e.g., acquisition and
procurement processes; assessing personnel credentials and qualifications,
performing background checks; filtering GAI input and outputs, grounding, fine
tuning, retrieval-augmented generation) to third-party GAI resources: Apply
organizational risk tolerance to the utilization of third-party datasets and other
GAI resources; Apply organizational risk tolerances to fine-tuned third-party
models; Apply organizational risk tolerance to existing third-party models
adapted to a new domain; Reassess risk measurements after fine-tuning thirdparty GAI models</t>
  </si>
  <si>
    <t>A0744; A0746; A0748;</t>
  </si>
  <si>
    <t>A0744_NIST2024 Value Chain and Component Integration (0,31); A0746_NIST2024 Information Integrity; Information Security;  (0,22); A0748_NIST2024 Information Integrity; Value Chain and Compon (0,20)</t>
  </si>
  <si>
    <t>A0743_NIST2024</t>
  </si>
  <si>
    <t>Data Privacy; Information Security; Value Chain and Component Integration; Harmful Bias and Homogenization</t>
  </si>
  <si>
    <t>Test GAI system value chain risks (e.g., data poisoning, malware, other software
and hardware vulnerabilities; labor practices; data privacy and localization
compliance; geopolitical alignment).</t>
  </si>
  <si>
    <t>A0746_NIST2024 Information Integrity; Information Security;  (0,38); A0744_NIST2024 Value Chain and Component Integration (0,27); A0748_NIST2024 Information Integrity; Value Chain and Compon (0,26)</t>
  </si>
  <si>
    <t>A0744_NIST2024</t>
  </si>
  <si>
    <t>Re-assess model risks after fine-tuning or retrieval-augmented generation
implementation and for any third-party GAI models deployed for applications
and/or use cases that were not evaluated in initial testing.</t>
  </si>
  <si>
    <t>A0746; A0748; A0742;</t>
  </si>
  <si>
    <t>A0746_NIST2024 Information Integrity; Information Security;  (0,34); A0748_NIST2024 Information Integrity; Value Chain and Compon (0,33); A0742_NIST2024 Value Chain and Component Integration; Intell (0,31)</t>
  </si>
  <si>
    <t>A0745_NIST2024</t>
  </si>
  <si>
    <t>Intellectual Property; CBRN Information or Capabilities</t>
  </si>
  <si>
    <t>Take reasonable measures to review training data for CBRN information, and
intellectual property, and where appropriate, remove it. Implement reasonable
measures to prevent, flag, or take other action in response to outputs that
reproduce particular training data (e.g., plagiarized, trademarked, patented,
licensed content or trade secret material).</t>
  </si>
  <si>
    <t>A0510; A0752; A0750;</t>
  </si>
  <si>
    <t>A0510_NIST2024 Training Data Harm Assessment (0,18); A0752_NIST2024 CBRN Information or Capabilities; Confabulati (0,17); A0750_NIST2024 CBRN Information or Capabilities; Confabulati (0,16)</t>
  </si>
  <si>
    <t>A0746_NIST2024</t>
  </si>
  <si>
    <t>Information Integrity; Information Security; Value Chain and Component Integration</t>
  </si>
  <si>
    <t>Review various transparency artifacts (e.g., system cards and model cards) for
third-party models.</t>
  </si>
  <si>
    <t>A0748; A0743; A0744;</t>
  </si>
  <si>
    <t>A0748_NIST2024 Information Integrity; Value Chain and Compon (0,42); A0743_NIST2024 Data Privacy; Information Security; Value Cha (0,38); A0744_NIST2024 Value Chain and Component Integration (0,34)</t>
  </si>
  <si>
    <t>A0747_NIST2024</t>
  </si>
  <si>
    <t>Implement real-time monitoring processes for analyzing generated content
performance and trustworthiness characteristics related to content provenance
to identify deviations from the desired standards and trigger alerts for human
intervention.</t>
  </si>
  <si>
    <t>A0969_Gipiškis2024</t>
  </si>
  <si>
    <t xml:space="preserve">Gradual or incremental monitored release of model access
</t>
  </si>
  <si>
    <t>Implantação gradual e monitorada de sistemas de IA</t>
  </si>
  <si>
    <t>A0730; A0729; A0724;</t>
  </si>
  <si>
    <t>Realizar a implantação de sistemas de inteligência artificial de maneira gradual, iniciando com um grupo restrito de usuários ou organizações e ampliando progressivamente o acesso. Durante esse processo, devem ser monitoradas possíveis vulnerabilidades, falhas e comportamentos inesperados. Essa abordagem permite identificar e corrigir problemas antes da disponibilização em larga escala, reduzindo os impactos de possíveis incidentes.</t>
  </si>
  <si>
    <t>A0730_NIST2024 Information Integrity (0,25); A0729_NIST2024 Information Integrity (0,19); A0724_NIST2024 Information Integrity (0,17)</t>
  </si>
  <si>
    <t>A0748_NIST2024</t>
  </si>
  <si>
    <t>Information Integrity; Value Chain and Component Integration</t>
  </si>
  <si>
    <t>Leverage feedback and recommendations from organizational boards or
committees related to the deployment of GAI applications and content
provenance when using third-party pre-trained models.</t>
  </si>
  <si>
    <t>Disseminação em larga escala de falhas, vulnerabilidades ou comportamentos inesperados de sistemas de IA devido à implantação sem validação gradual.</t>
  </si>
  <si>
    <t>Plano de implantação por etapas, registros de testes com grupos restritos, relatórios de monitoramento, critérios de expansão e aprovações documentadas para cada etapa.</t>
  </si>
  <si>
    <t>A0746; A0744; A0743;</t>
  </si>
  <si>
    <t>A0746_NIST2024 Information Integrity; Information Security;  (0,42); A0744_NIST2024 Value Chain and Component Integration (0,33); A0743_NIST2024 Data Privacy; Information Security; Value Cha (0,26)</t>
  </si>
  <si>
    <t>A0749_NIST2024</t>
  </si>
  <si>
    <t>Use human moderation systems where appropriate to review generated content
in accordance with human-AI configuration policies established in the Govern
function, aligned with socio-cultural norms in the context of use, and for settings
where AI models are demonstrated to perform poorly.</t>
  </si>
  <si>
    <t>A0733; A0760; A0753;</t>
  </si>
  <si>
    <t>A0733_NIST2024 Human-AI Configuration (0,26); A0760_NIST2024 Human-AI Configuration (0,23); A0753_NIST2024 Human-AI Configuration (0,19)</t>
  </si>
  <si>
    <t>A0750_NIST2024</t>
  </si>
  <si>
    <t>CBRN Information or Capabilities; Confabulation</t>
  </si>
  <si>
    <t>Use organizational risk tolerance to evaluate acceptable risks and performance
metrics and decommission or retrain pre-trained models that perform outside of
defined limits.</t>
  </si>
  <si>
    <t>A0752; A0700; A0728;</t>
  </si>
  <si>
    <t>Gipiškis (2024)  Recomendação de implantação progressiva para identificar falhas antes da disponibilização em larga escala.</t>
  </si>
  <si>
    <t>A0752_NIST2024 CBRN Information or Capabilities; Confabulati (0,37); A0700_Barrett2024 Monitor Pre-trained Models (0,18); A0728_NIST2024 CBRN Information or Capabilities; Obscene, De (0,17)</t>
  </si>
  <si>
    <t>A0751_NIST2024</t>
  </si>
  <si>
    <t>Collaborate with external researchers, industry experts, and community
representatives to maintain awareness of emerging best practices and
technologies in measuring and managing identified risks.</t>
  </si>
  <si>
    <t>A0752_NIST2024</t>
  </si>
  <si>
    <t>CBRN Information or Capabilities; Confabulation; Information Security</t>
  </si>
  <si>
    <t>Establish, maintain, and evaluate effectiveness of organizational processes and
procedures for post-deployment monitoring of GAI systems, particularly for
potential confabulation, CBRN, or cyber risks.</t>
  </si>
  <si>
    <t>A0750; A0761; A0722;</t>
  </si>
  <si>
    <t>A0750_NIST2024 CBRN Information or Capabilities; Confabulati (0,37); A0761_NIST2024 Confabulation; Information Integrity (0,22); A0722_NIST2024 Human-AI Configuration; Confabulation; Inform (0,18)</t>
  </si>
  <si>
    <t>A0753_NIST2024</t>
  </si>
  <si>
    <t>Evaluate the use of sentiment analysis to gauge user sentiment regarding GAI
content performance and impact, and work in collaboration with AI Actors
experienced in user research and experience.</t>
  </si>
  <si>
    <t>A0733; A0760; A0749;</t>
  </si>
  <si>
    <t>A0733_NIST2024 Human-AI Configuration (0,23); A0760_NIST2024 Human-AI Configuration (0,20); A0749_NIST2024 Human-AI Configuration (0,19)</t>
  </si>
  <si>
    <t>A0754_NIST2024</t>
  </si>
  <si>
    <t>Confabulation</t>
  </si>
  <si>
    <t xml:space="preserve">Implement active learning techniques to identify instances where the model fails
or produces unexpected outputs. </t>
  </si>
  <si>
    <t>A0755_NIST2024</t>
  </si>
  <si>
    <t>Share transparency reports with internal and external stakeholders that detail
steps taken to update the GAI system to enhance transparency and
accountability</t>
  </si>
  <si>
    <t>A0735; A0719; A0720;</t>
  </si>
  <si>
    <t>A0735_NIST2024 Human-AI Configuration; Harmful Bias and Homo (0,34); A0719_NIST2024 Human-AI Configuration; Information Integrity (0,27); A0720_NIST2024 Human-AI Configuration; Information Integrity (0,22)</t>
  </si>
  <si>
    <t>A0756_NIST2024</t>
  </si>
  <si>
    <t>Track dataset modifications for provenance by monitoring data deletions,
rectification requests, and other changes that may impact the verifiability of
content origins.</t>
  </si>
  <si>
    <t>A0729; A0730;</t>
  </si>
  <si>
    <t>A0729_NIST2024 Information Integrity (0,20); A0730_NIST2024 Information Integrity (0,16)</t>
  </si>
  <si>
    <t>A0757_NIST2024</t>
  </si>
  <si>
    <t>Human-AI Configuration; Information Integrity</t>
  </si>
  <si>
    <t>Verify that AI Actors responsible for monitoring reported issues can effectively
evaluate GAI system performance including the application of content
provenance data tracking techniques, and promptly escalate issues for response.</t>
  </si>
  <si>
    <t>A0717; A0719; A0725;</t>
  </si>
  <si>
    <t>A0717_NIST2024 Human-AI Configuration; Information Integrity (0,26); A0719_NIST2024 Human-AI Configuration; Information Integrity (0,23); A0725_NIST2024 Human-AI Configuration; Information Security (0,20)</t>
  </si>
  <si>
    <t>A0758_NIST2024</t>
  </si>
  <si>
    <t>Harmful Bias and Homogenization</t>
  </si>
  <si>
    <t xml:space="preserve">Conduct regular monitoring of GAI systems and publish reports detailing the
performance, feedback received, and improvements made. </t>
  </si>
  <si>
    <t>A0716; A0755; A0708;</t>
  </si>
  <si>
    <t>A0716_NIST2024 Harmful Bias and Homogenization Assessments (0,24); A0755_NIST2024 Human-AI Configuration; Harmful Bias and Homo (0,22); A0708_NIST2024 Assessments for Environmental; Harmful Bias a (0,22)</t>
  </si>
  <si>
    <t>A0759_NIST2024</t>
  </si>
  <si>
    <t>Human-AI Configuration; Dangerous, Violent, or Hateful Content</t>
  </si>
  <si>
    <t>Practice and follow incident response plans for addressing the generation of
inappropriate or harmful content and adapt processes based on findings to
prevent future occurrences. Conduct post-mortem analyses of incidents with
relevant AI Actors, to understand the root causes and implement preventive
measures.</t>
  </si>
  <si>
    <t>A0711; A0732; A0728;</t>
  </si>
  <si>
    <t>A0711_NIST2024 Dangerous, Violent, or Hateful Content Mitiga (0,29); A0732_NIST2024 CBRN Information or Capabilities; Obscene, De (0,20); A0728_NIST2024 CBRN Information or Capabilities; Obscene, De (0,18)</t>
  </si>
  <si>
    <t>A0974_Gipiškis2024</t>
  </si>
  <si>
    <t>A0760_NIST2024</t>
  </si>
  <si>
    <t>AI identification</t>
  </si>
  <si>
    <t>Use visualizations or other methods to represent GAI model behavior to ease
non-technical stakeholders understanding of GAI system functionality</t>
  </si>
  <si>
    <t>Identificação da utilização de inteligência artificial</t>
  </si>
  <si>
    <t>A0733; A0749; A0753;</t>
  </si>
  <si>
    <t>Implementar mecanismos que permitam identificar claramente a participação de sistemas de inteligência artificial em processos ou interações. Em aplicações que interagem diretamente com usuários, devem ser apresentadas informações visíveis indicando que a interação envolve uma IA, acompanhadas de avisos relevantes sobre suas limitações. Em sistemas integrados a outras aplicações, podem ser utilizados identificadores únicos, marcas d'água ou cartões de identificação de agentes para fornecer informações sobre o sistema utilizado.</t>
  </si>
  <si>
    <t>6.5, 7.4</t>
  </si>
  <si>
    <t>A0733_NIST2024 Human-AI Configuration (0,24); A0749_NIST2024 Human-AI Configuration (0,23); A0753_NIST2024 Human-AI Configuration (0,20)</t>
  </si>
  <si>
    <t>A0761_NIST2024</t>
  </si>
  <si>
    <t>Confabulation; Information Integrity</t>
  </si>
  <si>
    <t>Establish and maintain policies and procedures to record and track GAI system
reported errors, near-misses, and negative impacts.</t>
  </si>
  <si>
    <t>Falta de transparência sobre a utilização de inteligência artificial, levando usuários a acreditar que interagem com pessoas ou conteúdos exclusivamente humanos.</t>
  </si>
  <si>
    <t>Capturas de tela dos avisos de identificação da IA, documentação dos mecanismos de transparência, registros de implementação de identificadores e resultados de testes de visibilidade dos avisos.</t>
  </si>
  <si>
    <t>A0752; A0736;</t>
  </si>
  <si>
    <t>A0752_NIST2024 CBRN Information or Capabilities; Confabulati (0,22); A0736_NIST2024 Data Privacy; Intellectual Property; Informat (0,16)</t>
  </si>
  <si>
    <t>A0762_NIST2024</t>
  </si>
  <si>
    <t>Information Security; Data Privacy</t>
  </si>
  <si>
    <t>Report GAI incidents in compliance with legal and regulatory requirements (e.g.,
HIPAA breach reporting, e.g., OCR (2023) or NHTSA (2022) autonomous vehicle
crash reporting requirements.</t>
  </si>
  <si>
    <t>A0633; A0743;</t>
  </si>
  <si>
    <t>A0633_Barrett2024 Ensure Legal Compliance (0,19); A0743_NIST2024 Data Privacy; Information Security; Value Cha (0,18)</t>
  </si>
  <si>
    <t>A0250_Wiener2024</t>
  </si>
  <si>
    <t>Annual third-party audit</t>
  </si>
  <si>
    <t>The bill would require
a developer, beginning January 1, 2026, to annually retain a
third-party auditor to perform an independent audit of compliance
with those provisions, as prescribed. The bill would require the
auditor to produce an audit report, as prescribed, and would require
a developer to retain an unredacted copy of the audit report for as
long as the covered model is made available for commercial,
public, or foreseeably public use plus 5 years.</t>
  </si>
  <si>
    <t>Gipiškis (2024)  Orientações sobre transparência e identificação de interações realizadas por sistemas de IA.</t>
  </si>
  <si>
    <t>A0251_Wiener2024</t>
  </si>
  <si>
    <t>Capability to promptly enact a full shutdown</t>
  </si>
  <si>
    <t xml:space="preserve">When enacting a full shutdown, the developer shall take
into account, as appropriate, the risk that a shutdown of the covered
model, or particular covered model derivatives, could cause
disruptions to critical infrastructure. </t>
  </si>
  <si>
    <t>A0252_Wiener2024</t>
  </si>
  <si>
    <t>Cybersecurity protocols to prevent the model from being unintentionally stolen</t>
  </si>
  <si>
    <t xml:space="preserve">Implement reasonable administrative, technical, and physical
cybersecurity protections to prevent unauthorized access to, misuse
of, or unsafe post-training modifications of, the covered model
and all covered model derivatives controlled by the developer that
are appropriate in light of the risks associated with the covered
model, including from advanced persistent threats or other
sophisticated actors. </t>
  </si>
  <si>
    <t>A0253_Wiener2024</t>
  </si>
  <si>
    <t>Developers “shall consider” guidance from US AISI and NIST and other reputable standard-setting organizations</t>
  </si>
  <si>
    <t>Entrada sem descrição na base.</t>
  </si>
  <si>
    <t>Sem descrição na base; não é possível definir que evidência comprovaria a aplicação.</t>
  </si>
  <si>
    <t>A0254_Wiener2024</t>
  </si>
  <si>
    <t>Implement a written safe and security plan (SSP)</t>
  </si>
  <si>
    <t xml:space="preserve">This bill would enact the Safe and Secure Innovation for Frontier
Artificial Intelligence Models Act to, among other things, require
that a developer, before beginning to initially train a covered model,
as defined, comply with various requirements, including
implementing the capability to promptly enact a full shutdown, as
defined, and implement a written and separate safety and security
protocol, as specified.
(3)  Implement a written and separate safety and security protocol
that does all of the following:
(A)  Specifies protections and procedures that, if successfully
implemented, would successfully comply with the developer’s
duty to take reasonable care to avoid producing a covered model
or covered model derivative that poses an unreasonable risk of
causing or materially enabling a critical harm.
(B)  States compliance requirements in an objective manner and
with sufficient detail and specificity to allow the developer or a
third party to readily ascertain whether the requirements of the
safety and security protocol have been followed.
(C)  Identifies a testing procedure, which takes safeguards into
account as appropriate, that takes reasonable care to evaluate if
both of the following are true:
(i)  A covered model poses an unreasonable risk of causing or
enabling a critical harm.
(ii)  Covered model derivatives pose an unreasonable risk of
causing or enabling a critical harm.
(D)  Describes in detail how the testing procedure assesses the
risks associated with post-training modifications. </t>
  </si>
  <si>
    <t>A0255_Wiener2024</t>
  </si>
  <si>
    <t>Publish a redacted copy of SSP</t>
  </si>
  <si>
    <t>A0256_Wiener2024</t>
  </si>
  <si>
    <t>Publish results of safety tests</t>
  </si>
  <si>
    <t>A0257_Wiener2024</t>
  </si>
  <si>
    <t>Report new model deployments to the AG within 30 days</t>
  </si>
  <si>
    <t>A0979_Gipiškis2024</t>
  </si>
  <si>
    <t xml:space="preserve">Post-deployment ongoing monitoring for unexpected use cases
</t>
  </si>
  <si>
    <t>Monitoramento contínuo de usos inesperados após a implantação</t>
  </si>
  <si>
    <t>A0258_Wiener2024</t>
  </si>
  <si>
    <t>Yearly re-evaluation of safety procedures</t>
  </si>
  <si>
    <t>Realizar o monitoramento contínuo de sistemas de inteligência artificial após sua implantação, buscando identificar novas capacidades, limitações e formas de utilização não previstas durante o desenvolvimento. O monitoramento pode incluir a análise de publicações, fóruns, registros de utilização e interfaces de programação. As informações coletadas devem contribuir para a atualização das avaliações de risco e para a identificação de possíveis impactos associados aos novos usos do sistema.</t>
  </si>
  <si>
    <t>7.3, 7.4</t>
  </si>
  <si>
    <t>6.5, 7.2, 7.3</t>
  </si>
  <si>
    <t>Surgimento de usos indevidos, novas vulnerabilidades ou comportamentos inesperados após a implantação, sem identificação e tratamento adequados.</t>
  </si>
  <si>
    <t>Relatórios periódicos de monitoramento, registros de comportamentos anômalos, histórico de incidentes, avaliações de novos riscos e documentação das ações corretivas.</t>
  </si>
  <si>
    <t>A0259_Wiener2024</t>
  </si>
  <si>
    <t>Publish assessment of the risk of catastrophic harms from the model</t>
  </si>
  <si>
    <t>A0764_UK Government2023</t>
  </si>
  <si>
    <t>Rigorous Risk Assessment Processes</t>
  </si>
  <si>
    <t xml:space="preserve">Develop rigorous risk assessment processes for models, which: 1) Attempt to encompass all plausible and consequential risks from AI systems, including low-probability risks of severe harm; 2) Are informed by factors including, but not limited to: Model evaluations and red teaming, evidence of previous models' impacts and capabilities, knowledge of the latest research and developments in the field, domain expertise both internally and externally, and the results of data input audits. Take into account the difficulty of producing reliable risk assessments, creating a culture that takes seriously the significant uncertainty underlying predictions of the risks associated with frontier models. Take into account the potential benefits of the model. Include learnings from information exchanges with industry, academia and government on the capabilities of comparable models
</t>
  </si>
  <si>
    <t>Gipiškis (2024)  Recomendação de monitoramento pós-implantação para identificar novos riscos e usos não previstos.</t>
  </si>
  <si>
    <t>A0765_UK Government2023</t>
  </si>
  <si>
    <t xml:space="preserve">Pre-Deployment Risk Assessments </t>
  </si>
  <si>
    <t>Devote resources to pre-development risk assessments, alongside prioritising pre- deployment risk assessments. Pre-development risk assessments are also important, because training a high-risk system can still lead to harm if the model is leaked, stolen, or otherwise unintentionally distributed.</t>
  </si>
  <si>
    <t>A0927; A1030; A0197;</t>
  </si>
  <si>
    <t>A0927_UK Government2023 Input Data Audits for Pre-Development/deploym (0,34); A1030_Uuk2024 Pre-deployment risk assessments (0,33); A0197_Schuett2023 Pre-deployment risk assessment (0,20)</t>
  </si>
  <si>
    <t>A0766_UK Government2023</t>
  </si>
  <si>
    <t>Development and Post-Deployment Monitoring</t>
  </si>
  <si>
    <t>Monitor systems both during development and after deployment. New risk assessments could be carried out in cases of fine-tuning or other substantial changes that could increase the danger of a model, such as the model gaining access to tools or plugins. This could occur alongside attempts to detect unexpected developments and new information that might have changed the results of the existing risk assessment, and which could also trigger a new risk assessment.</t>
  </si>
  <si>
    <t>A0767_UK Government2023</t>
  </si>
  <si>
    <t xml:space="preserve">Risk Thresholds for Specific Models </t>
  </si>
  <si>
    <t>Describe and continually refine risk assessment results for each model (“risk thresholds”) that would trigger particular risk-reducing actions, defining such results in terms of risk to all relevant stakeholders given currently existing mitigations. Given the high uncertainty around future model capabilities, risk thresholds may be refined periodically.</t>
  </si>
  <si>
    <t>A0768_UK Government2023</t>
  </si>
  <si>
    <t xml:space="preserve">Defining Risk Thresholds </t>
  </si>
  <si>
    <t>Define risk thresholds, based on the outcomes that would constitute a breach of the threshold and linked to dangerous capabilities that a given model or combination of models could exhibit. For example, a frontier AI organisation might identify the objective of avoiding deploying an AI system that significantly increases the risk of cyberattacks or fraud.</t>
  </si>
  <si>
    <t>A0769_UK Government2023</t>
  </si>
  <si>
    <t>Operationalizing Risk Thresholds</t>
  </si>
  <si>
    <t>Operationalise risk thresholds, including specific, testable observations, such that multiple observers with access to the same information would agree on whether a given threshold had been met. Specific observations would provide frontier AI organisations with opportunities to determine proactively how they would respond in difficult potential situations, and so respond immediately to such situations should they arise, as well as allowing for accountability and external verification.
Given the nascent science of AI evaluation, however, it is unlikely to be possible to define a set of testable observations that detect all identified risks sufficiently reliably. Instead of relying solely on these predefined tests, risk assessments may take into account wider sources of evidence, such as concerning and unexpected observations that show up in exploratory analyses, expert forecasts, or risk related information from other frontier AI organisations. In particular, consideration may be given to any risks caused by the combination of a given model with other models or tools, whether developed by the same frontier AI organisation or otherwise.</t>
  </si>
  <si>
    <t>A0770_UK Government2023</t>
  </si>
  <si>
    <t xml:space="preserve">Refinement of Risk Evaluation Frameworks </t>
  </si>
  <si>
    <t>Continue to refine and redefine risk evaluation frameworks for models as necessary, aiming to reduce the gap between the intended objectives of risk thresholds and their present operationalisations. Such gaps are expected to exist due to limitations in the science of evaluation and in the state of knowledge surrounding capabilities, so progress towards a robust framework will probably be iterative. Risk evaluation frameworks may use multiple methods, including probability estimations and qualitative assessments of current capabilities.</t>
  </si>
  <si>
    <t>A0771_UK Government2023</t>
  </si>
  <si>
    <t xml:space="preserve">Mitigation of Overshooting Risk Thresholds </t>
  </si>
  <si>
    <t>Mitigate the risk of ‘overshooting’ risk thresholds. This may be achieved by setting deliberately conservative thresholds, including using intentionally lower buffer thresholds to trigger actions, such that the most concerning thresholds are difficult to overshoot without having already implemented mitigations at an earlier stage.</t>
  </si>
  <si>
    <t>A0772_UK Government2023</t>
  </si>
  <si>
    <t>Risk Threshold Engagement with Relevant External Stakeholders</t>
  </si>
  <si>
    <t>Engage with relevant external stakeholders when developing risk thresholds. Risk thresholds often concern externalities frontier AI organisations place on society, including both the potentially significant benefits of AI advancement and negative effects that might disproportionately affect specific stakeholder groups. As such, their risk thresholds may be made public to allow for external scrutiny, with thresholds set in consultation with relevant external stakeholders including relevant government authorities.</t>
  </si>
  <si>
    <t>A0982_Gipiškis2024</t>
  </si>
  <si>
    <t xml:space="preserve">Encourage reporting of critical vulnerabilities to the upstream provider or other relevant stakeholders
</t>
  </si>
  <si>
    <t>Comunicação de vulnerabilidades críticas aos fornecedores e responsáveis</t>
  </si>
  <si>
    <t>Estabelecer procedimentos para comunicar vulnerabilidades críticas e incidentes identificados em sistemas de inteligência artificial aos fornecedores dos modelos e às demais partes interessadas, incluindo autoridades reguladoras quando aplicável. Essa comunicação deve permitir que os responsáveis tomem conhecimento dos problemas, adotem medidas corretivas e informem outras organizações que utilizam o mesmo sistema, contribuindo para a prevenção de incidentes semelhantes.</t>
  </si>
  <si>
    <t>A0773_UK Government2023</t>
  </si>
  <si>
    <t>3.1, 6.5, 7.3</t>
  </si>
  <si>
    <t xml:space="preserve">Development Constrained by Risk Thresholds </t>
  </si>
  <si>
    <t>At each risk threshold, proactively commit to only proceed with certain development or deployment steps if specific mitigations are in place. Such mitigations could include many of the practices outlined in this document.</t>
  </si>
  <si>
    <t>Persistência ou propagação de vulnerabilidades críticas devido à ausência de comunicação entre organizações, fornecedores e responsáveis pelos sistemas de IA.</t>
  </si>
  <si>
    <t>Registros de notificações enviadas aos fornecedores, relatórios de vulnerabilidades comunicadas, protocolos de comunicação, confirmações de recebimento e histórico de correções realizadas.</t>
  </si>
  <si>
    <t>A0774_UK Government2023</t>
  </si>
  <si>
    <t xml:space="preserve">Reassessment of Residual Risk </t>
  </si>
  <si>
    <t>After putting in place mitigations, reassess any residual risk posed to determine whether additional mitigations are required. Due to the unpredictability of capabilities advancements and the limitations of model evaluation science, pre-agreed mitigations may prove insufficient to place a given model within a risk threshold. Risk acceptance criteria may be used, as is standard in many other contexts, and may provide an important tool for clarification. These criteria may evolve with time, and could be quantitative or qualitative. For example, risk may only be accepted if it has been reduced to a level ‘as low as reasonably practicable’.</t>
  </si>
  <si>
    <t>Gipiškis (2024)  Orientações sobre comunicação de vulnerabilidades e incidentes aos responsáveis pelos sistemas.</t>
  </si>
  <si>
    <t>A0775_UK Government2023</t>
  </si>
  <si>
    <t xml:space="preserve">Disclosure of Risk Threshold to Government Authorities </t>
  </si>
  <si>
    <t>Inform relevant government authorities when a risk threshold has been met, along with proposed mitigations. Inform governments again, in advance of deployment, when the mitigations and residual risk assessment have been carried out. Proactively engage other relevant actors in addition to governments as appropriate.</t>
  </si>
  <si>
    <t>A0776_UK Government2023</t>
  </si>
  <si>
    <t>Adaptation of Mitigations to Development and Deployment Stages</t>
  </si>
  <si>
    <t xml:space="preserve">When planning required mitigations, consider the full range of development and deployment stages. In general, meeting a risk threshold could require mitigations at multiple such stages. Important stages may include the following: 1) Continued training of model; 2) Deployment of model in small-scale ways, e.g., internal use; 3) Deployment of model in large-scale ways e.g., public release via API ; 4) Extension of model through greater affordances, e.g., tool use or internet access; 5) Irreversible deployment e.g. open-sourcing of models
</t>
  </si>
  <si>
    <t>A0777_UK Government2023</t>
  </si>
  <si>
    <t>Adaptation of Mitigations for Unintended Model Use</t>
  </si>
  <si>
    <t>Adapt mitigations in recognition of risks from unintended model use or use in unexpected contexts, such as a model that is modified to remove safeguards after open- sourcing or a model that is combined with another model for unanticipated purposes. For example, at a given risk threshold, information security control mitigations might be put in place before even internal use of a model within a frontier AI organisation. In general, the use of caution may be helpful, given current limitations in information security controls and the prediction of models’ emergent abilities.</t>
  </si>
  <si>
    <t>A0778_UK Government2023</t>
  </si>
  <si>
    <t xml:space="preserve">Recognition of Dangerous Model Possession </t>
  </si>
  <si>
    <t>Recognise that even the possession of some models may be dangerous, even if not deployed or not deployed widely, due to the risk of being unable to secure a model sufficiently to prevent, for instance, a bad actor obtaining the model weights. In contrast, other models may pose significant risk only if deployed in a large-scale or irreversible way.</t>
  </si>
  <si>
    <t>A0779_UK Government2023</t>
  </si>
  <si>
    <t xml:space="preserve">Reversible and Small-Scale Deployment </t>
  </si>
  <si>
    <t>Deploy models in small-scale or reversible ways before deploying models in large-scale or irreversible ways. This makes it possible for frontier AI organisations to notice and mitigate harm before the harm becomes too large or unavoidable.</t>
  </si>
  <si>
    <t>A0780_UK Government2023</t>
  </si>
  <si>
    <t xml:space="preserve">Pause of Training Runs </t>
  </si>
  <si>
    <t>Prepare to pause training runs or reduce access to deployed models, if risk thresholds are reached without the committed risk mitigations being in place. This may involve warning existing customers that access reductions are a possibility and creating contingency plans to minimise negative impacts on customer use.</t>
  </si>
  <si>
    <t>A0781_UK Government2023</t>
  </si>
  <si>
    <t>Risks of Open-Source Models</t>
  </si>
  <si>
    <t>Acknowledge that some models may pose additional risks if made available “open-source”, even after mitigation attempts. This is because of the inability of recalling an open-sourced model and the potential ability of users to remove safeguards and introduce new (and potentially dangerous) capabilities. However, it is also important to bear in mind the significant benefits of “open-source” AI systems for researchers, including for advancing AI safety, which may in some cases outweigh these potential risks.</t>
  </si>
  <si>
    <t>A0782_UK Government2023</t>
  </si>
  <si>
    <t>Risk Assessment Disclosure to Third Parties</t>
  </si>
  <si>
    <t>Regularly update relevant stakeholders on risk assessment and mitigation measures: This will enable assessment of whether AI organisations have sufficient risk management processes in place, build up a picture of best practices, and make recommendations to address gaps. When sharing this information with external actors, consideration should be given to commercially sensitive information. Additional ad hoc updates could be provided in cases of major developments.Include information on evaluations, risk assessment and mitigation, and individuals involved. For example: 1) What types of tests and evaluations are being run on which types of models; 2) What other risk assessment methods are being used, which kinds of expertise are
drawn on, and whether impacted stakeholders are being involved; 3) How risk mitigation measures are being monitored; 4) Which teams and individuals are involved at different stages of the risk management process (and how, if at all, third parties are involved); 5) Measures taken to address specific categories of risk, such as cybersecurity measures</t>
  </si>
  <si>
    <t>A0983_Gipiškis2024</t>
  </si>
  <si>
    <t>A0783_UK Government2023</t>
  </si>
  <si>
    <t xml:space="preserve">Least Privilege access
</t>
  </si>
  <si>
    <t xml:space="preserve">Robust and Meaningful Accountability Mechanisms </t>
  </si>
  <si>
    <t>Restrição de acesso com base no princípio do menor privilégio</t>
  </si>
  <si>
    <t>Introduce robust and meaningful accountability mechanisms, especially in evaluating capabilities thresholds, with clear processes that ensure the correct mitigations or courses of action are followed if the thresholds are met. This may include board sign-off for the responsible capability scaling policy, and named individual accountability for key decisions.</t>
  </si>
  <si>
    <t>Implementar controles de acesso que limitem as permissões concedidas aos sistemas de inteligência artificial ao mínimo necessário para executar suas funções. As ações e os recursos permitidos devem ser definidos previamente por meio de listas de autorização, restringindo acessos não autorizados a redes, programas, bases de dados e outras funcionalidades. Essa medida busca reduzir a superfície de ataque e evitar que o sistema execute ações inesperadas ou potencialmente prejudiciais.</t>
  </si>
  <si>
    <t>2.1, 2.2, 4.2, 7.3</t>
  </si>
  <si>
    <t>Execução de ações não autorizadas por sistemas de IA, incluindo acesso indevido a dados sensíveis, recursos computacionais e funcionalidades críticas.</t>
  </si>
  <si>
    <t>Matrizes de permissões, políticas de controle de acesso, listas de autorização, registros de auditoria e resultados de testes que comprovem o bloqueio de ações não permitidas.</t>
  </si>
  <si>
    <t>A0784_UK Government2023</t>
  </si>
  <si>
    <t>Effective Risk Governance</t>
  </si>
  <si>
    <t>Establish effective risk governance to ensure that risks are appropriately identified, assessed, and addressed, and their nature and scale transparently reported. Most importantly, provide internal checks and balances, which may include thoughtful separation of roles within risk management.</t>
  </si>
  <si>
    <t>A0785_UK Government2023</t>
  </si>
  <si>
    <t xml:space="preserve">Verification Mechanisms </t>
  </si>
  <si>
    <t>Include verification mechanisms, such that external actors can have increased confidence that responsible capability scaling policies are executed as intended.</t>
  </si>
  <si>
    <t>Gipiškis (2024) Aplicação de controles de acesso e restrição de permissões para reduzir riscos de segurança.</t>
  </si>
  <si>
    <t>A0786_UK Government2023</t>
  </si>
  <si>
    <t>Model Evaluation of Dangerous Capabilities</t>
  </si>
  <si>
    <t xml:space="preserve">Evaluate models for potential dangerous capabilities (i.e. capabilities that could cause substantial harm either from intentional misuse or accident). These capabilities could include but are not limited to: 1) Offensive cyber capabilities (e.g. producing code to exploit software vulnerabilities); 2) Deception and manipulation (e.g. lying effectively or convincing people to take costly
actions); 3) Capabilities that can assist users in developing, designing, acquiring, or using biological, chemical, or radiological weapons (e.g. helping users “troubleshoot” their efforts to produce biological weapons)
</t>
  </si>
  <si>
    <t>A0787_UK Government2023</t>
  </si>
  <si>
    <t xml:space="preserve">Model Evaluation of Controllability </t>
  </si>
  <si>
    <t>Evaluate models for controllability issues (i.e. propensities to apply their capabilities in ways that neither the models’ users nor the models’ developers want). This could include, for example, autonomous replication and adaptation (i.e. capabilities that could allow a model to copy and run itself on other computer systems).</t>
  </si>
  <si>
    <t>A0788_UK Government2023</t>
  </si>
  <si>
    <t>Model Evaluation of Societal Harm</t>
  </si>
  <si>
    <t>Evaluate models for societal harms. These could include, for example, bias and discrimination (e.g. the risk that they produce content that reinforces harmful stereotypes or their potential discriminatory influence if used to inform decisions), recognising that ‘bias’ can be difficult to define and can be subject to different interpretations in different contexts.</t>
  </si>
  <si>
    <t>A0789</t>
  </si>
  <si>
    <t>A0789_UK Government2023 Model Evaluation of System Security (0,18)</t>
  </si>
  <si>
    <t>A0789_UK Government2023</t>
  </si>
  <si>
    <t xml:space="preserve">Model Evaluation of System Security </t>
  </si>
  <si>
    <t>Evaluate models for system security</t>
  </si>
  <si>
    <t>A0471; A0010; A0788;</t>
  </si>
  <si>
    <t>A0471_NIST2024 Fine-Tuned Model Re-evaluation (0,30); A0010_Bengio2025 Model Evaluation (0,23); A0788_UK Government2023 Model Evaluation of Societal Harm (0,18)</t>
  </si>
  <si>
    <t>A0790_UK Government2023</t>
  </si>
  <si>
    <t xml:space="preserve">Response Processes for Evaluation Results </t>
  </si>
  <si>
    <t>Ensure processes are in place to respond to evaluation results. Evaluations are a necessary input to a responsible capability scaling policy which, depending on the results of the evaluation, would probably require implementation of practices outlined in other sections of this document such as preventing model misuse, information sharing and other risk mitigation measures.</t>
  </si>
  <si>
    <t>A0791_UK Government2023</t>
  </si>
  <si>
    <t xml:space="preserve">Evaluation of Predecessor Models </t>
  </si>
  <si>
    <t>Before a frontier model is trained, evaluate predecessor or analogous models to understand how relevant properties (e.g. dangerous capabilities) scale with the overall size of the model. These preliminary evaluations can inform risk assessments.</t>
  </si>
  <si>
    <t>A0792_UK Government2023</t>
  </si>
  <si>
    <t xml:space="preserve">Pre-training and Fine-tuning of Models </t>
  </si>
  <si>
    <t>During pre-training and fine-tuning, evaluate the model to detect signs of undesirable properties and identify inaccuracies in pretraining predictions. These evaluations could be undertaken at various pre-specified checkpoints, and could inform decisions about whether to pause or adjust the training process.</t>
  </si>
  <si>
    <t>A0987_Gipiškis2024</t>
  </si>
  <si>
    <t xml:space="preserve">Sandboxing of AI Systems
</t>
  </si>
  <si>
    <t>Desenvolvimento e testes de sistemas de IA em ambientes isolados</t>
  </si>
  <si>
    <t>A0793_UK Government2023</t>
  </si>
  <si>
    <t xml:space="preserve">Pre-Deployment Evaluations </t>
  </si>
  <si>
    <t>After training, subject the model to extensive pre-deployment evaluations. These evaluations can inform decisions about whether and how to deploy the system, as well as allowing governments and potential users to make informed decisions about regulating or using the model. Their intensity will be proportional to the risk of the deployment, taking into account the model’s capabilities, novelty, expected domains of use, and number of individuals expected to be affected by it.</t>
  </si>
  <si>
    <t>Desenvolver e testar sistemas de inteligência artificial em ambientes isolados e controlados, conhecidos como Sandbox, para limitar a interação com recursos externos e impedir que comportamentos potencialmente perigosos afetem outros sistemas. Nesse ambiente, o acesso à rede, ao armazenamento, à memória e a outros recursos pode ser bloqueado ou restringido. Essa abordagem permite avaliar o comportamento da IA de forma mais segura, reduzindo os riscos associados à execução de ações ou à geração de resultados prejudiciais durante os testes.</t>
  </si>
  <si>
    <t>A0794</t>
  </si>
  <si>
    <t>Comprometimento de sistemas externos, exposição de informações sensíveis ou execução de ações perigosas durante o desenvolvimento e os testes de sistemas de IA.</t>
  </si>
  <si>
    <t>Documentação da configuração do ambiente Sandbox, políticas de isolamento, registros de restrições de rede e recursos, relatórios de testes de segurança e evidências da eficácia do isolamento.</t>
  </si>
  <si>
    <t>A0794_UK Government2023 Post-Deployment Evaluations (0,18)</t>
  </si>
  <si>
    <t>A0794_UK Government2023</t>
  </si>
  <si>
    <t xml:space="preserve">Post-Deployment Evaluations </t>
  </si>
  <si>
    <t>After deployment, conduct evaluations at regular intervals to identify new capabilities and associated risks, especially when notable developments (e.g. a major update to the model) suggest earlier evaluations have become obsolete. Post-deployment evaluations can inform decisions to update the system’s safeguards, increase security around the model, temporarily limit access, or roll back deployment.</t>
  </si>
  <si>
    <t>A0793</t>
  </si>
  <si>
    <t>A0793_UK Government2023 Pre-Deployment Evaluations (0,18)</t>
  </si>
  <si>
    <t>A0795_UK Government2023</t>
  </si>
  <si>
    <t>Context-Specific Model Evaluations</t>
  </si>
  <si>
    <t xml:space="preserve">Require organisations who deploy their models to conduct context-specific model evaluations. This requires that the information and data required to successfully conduct such assessments is provided to deployers.
</t>
  </si>
  <si>
    <t>A0796_UK Government2023</t>
  </si>
  <si>
    <t>Independent Evaluation with Subject Matter Expertise</t>
  </si>
  <si>
    <t>Ensure that evaluators are independent and have sufficient AI and subject matter expertise across a wide range of relevant subjects and backgrounds. External evaluators’ relationships with frontier AI organisations could be structured to minimise conflicts of interest and encourage independence of judgement as far as practically possible. As well as expertise in AI, there are many other areas of subject matter expertise that will be needed to evaluate an AI system’s features. For instance, experts on topics as wide as fairness, psychological harm, and catastrophic risk will be needed.</t>
  </si>
  <si>
    <t>Gipiškis (2024) Recomendação de isolamento de ambientes para limitar impactos de comportamentos perigosos.</t>
  </si>
  <si>
    <t>A0797_UK Government2023</t>
  </si>
  <si>
    <t>Appropriate Safeguards Against External Evaluations</t>
  </si>
  <si>
    <t>Ensure that there are appropriate safeguards against external evaluations leading to unintended widespread distribution of models. Allowing external evaluators to download models onto their own hardware increases the chance of the models being stolen or leaked. Therefore, unless adequate security against widespread model distribution can be assured, external evaluators could only be allowed to access models through interfaces that prevent exfiltration (such as current API access methods). It may be appropriate to limit evaluators’ access to information that could indirectly facilitate widespread model distribution in other ways, such as requiring in-depth KYC checks or watermarking copies of the model.</t>
  </si>
  <si>
    <t>A0798_UK Government2023</t>
  </si>
  <si>
    <t>Sufficient Time for External Evaluators</t>
  </si>
  <si>
    <t>Give external evaluators sufficient time. As expected risks from models increase or models get more complex to evaluate, the time afforded for evaluation may need to increase as well.</t>
  </si>
  <si>
    <t>A0799_UK Government2023</t>
  </si>
  <si>
    <t>Fine-tuning by External Evaluators</t>
  </si>
  <si>
    <t>Give external evaluators the ability to securely “fine-tune” the AI systems being tested. Evaluators cannot fully assess risks associated with widespread model distribution if they cannot fine-tune the model. This may involve providing external evaluators with access to capable infrastructure to enable fine-tuning.</t>
  </si>
  <si>
    <t>A0800_UK Government2023</t>
  </si>
  <si>
    <t>External Evaluation of Model without Safety Regulations</t>
  </si>
  <si>
    <t>Give external evaluators access to versions of the model that lack safety mitigations. Where possible, sharing these versions of a model gives evaluators insight into the risks that might be created if users find ways to circumvent safeguards (i.e. “jailbreak” the model). If the model is open-sourced, leaked, or stolen, users may also simply be able to remove or bypass the safety mitigations.</t>
  </si>
  <si>
    <t>A0801_UK Government2023</t>
  </si>
  <si>
    <t>External Evaluation of Model Families</t>
  </si>
  <si>
    <t>Give external evaluators access to model families and internal metrics. Frontier AI organisations often develop “model families” where multiple models differ along only one or two dimensions – such as parameters, data, or training compute. Evaluating such a model family would enable scaling analysis to better forecast future performance, capabilities and risks.</t>
  </si>
  <si>
    <t>A0802_UK Government2023</t>
  </si>
  <si>
    <t xml:space="preserve">External Evaluation of Deployed System Components </t>
  </si>
  <si>
    <t>Give external evaluators the ability to study all of the components of deployed systems, where possible. Deployed AI systems typically combine a core model with smaller models and other software components, including moderation filters, user interfaces to incentivise particular user behaviour, and plug-ins for extension capabilities like web browsing or code execution. For example, a red team cannot find all the flaws in the defences of a system if they aren’t able to test all of its different components. It is important to consider the need to balance external evaluators’ ability to access all components of the system against the need to protect information that would allow bypassing model defences.</t>
  </si>
  <si>
    <t>A0803_UK Government2023</t>
  </si>
  <si>
    <t xml:space="preserve">Discretionary Evaluator Disclosure </t>
  </si>
  <si>
    <t>Allow evaluators to share and discuss the results of their evaluations, with potential restrictions where necessary e.g. not sharing proprietary information, information whose spread could lead to substantial harm or information that would have an adverse effect on competition in the market. Sharing the results of evaluations can allow governments, regulators, users, and other frontier AI organisations to make informed decisions.</t>
  </si>
  <si>
    <t>A0804_UK Government2023</t>
  </si>
  <si>
    <t>Development and testing of Model Evaluation Methods</t>
  </si>
  <si>
    <t>Support the development and testing of model evaluation methods. For many relevant properties of models, there do not yet exist accepted evaluation methods. It also remains unclear how reliable or predictive current evaluation methods are. This could involve frontier AI organisations developing model evaluation methods themselves or facilitating the efforts of others, such as by providing access to capable infrastructure for evaluation.</t>
  </si>
  <si>
    <t>Planejar a interrupção de sistemas com risco inaceitável</t>
  </si>
  <si>
    <t>Elaborar um plano para interromper o desenvolvimento ou a implantação de um sistema de IA generativa que apresente risco negativo inaceitável.</t>
  </si>
  <si>
    <t>7.1, 7.2</t>
  </si>
  <si>
    <t>A0805_UK Government2023</t>
  </si>
  <si>
    <t xml:space="preserve">Disclosure of Model Evaluation Research and Development </t>
  </si>
  <si>
    <t>Share the products of their model evaluation research and development, except when sharing the results might be harmful. In some cases, findings (e.g. about how to elicit dangerous capabilities) could be harmful if spread. When the expected harm is sufficiently small, the AI research community, other frontier AI organisations, and relevant government bodies could benefit from being informed of their work.</t>
  </si>
  <si>
    <t>Sistema de IA que continua em operação mesmo depois de apresentar riscos acima da tolerância da organização, por falta de critérios e de um procedimento definido para interrompê-lo, ampliando os danos antes da contenção.</t>
  </si>
  <si>
    <t>Plano de interrupção formalmente aprovado pela direção, contendo critérios de acionamento ligados à tolerância a riscos, responsáveis nomeados, etapas de interrupção e de comunicação, e registro de ao menos um teste ou simulação do plano.</t>
  </si>
  <si>
    <t>Divulgação pública ou compromisso corporativo típico de laboratórios de IA; pouco aplicável a quem implanta ou opera.</t>
  </si>
  <si>
    <t>A0806_UK Government2023</t>
  </si>
  <si>
    <t xml:space="preserve">Disclosure of Risk Assessment Processes </t>
  </si>
  <si>
    <t>Share details of risk assessment processes and risk mitigation measures with relevant government authorities and other AI companies, as set out in Responsible Capability Scaling.</t>
  </si>
  <si>
    <t>A0807_UK Government2023</t>
  </si>
  <si>
    <t>Disclosure of Information about Internal Governance Processes</t>
  </si>
  <si>
    <t>Share information about how internal governance processes are set up with relevant government authorities. This will ensure that risks are appropriately identified, communicated and mitigated, and allow government and other external actors to identify gaps that might lead to risks being overlooked. This information could be updated regularly (e.g. every 12 months). This information could also be made public, provided sensitive details are removed.</t>
  </si>
  <si>
    <t>NIST AI 600-1 (2024), ação GV-1.3-007, ligada à subcategoria GOVERN 1.3 do NIST AI RMF 1.0 ("Processes, procedures, and practices are in place to determine the needed level of risk management activities based on the organization’s risk tolerance"), recomenda planejar a interrupção do desenvolvimento ou da implantação de sistemas com risco negativo inaceitável. O NIST AI RMF 1.0 reforça a ação em MANAGE 2.4 ("Mechanisms are in place and applied, and responsibilities are assigned and understood, to supersede, disengage, or deactivate AI systems that demonstrate performance or outcomes inconsistent with intended use") e em GOVERN 1.7 (desativação segura de sistemas). De forma independente, a ISO/IEC 42001:2023 prevê supervisão humana com autoridade para anular decisões do sistema (B.9.3) e processos de resposta a falhas durante a operação (B.6.2.6). Custo estimado pelo grupo, pela rubrica.</t>
  </si>
  <si>
    <t>A0406 (protocolo de desativação) descreve ação muito parecida.</t>
  </si>
  <si>
    <t>A0808_UK Government2023</t>
  </si>
  <si>
    <t>Reporting Security Details to Government Authorities</t>
  </si>
  <si>
    <t>Report any details of security or safety incidents or near-misses to relevant government authorities. This includes any compromise to the security of the organisation or its systems, or any incident where an AI system – deployed or not – causes substantial harm or is close to doing so. This will enable government authorities to build a clear picture of when safety and security incidents occur and make it easier to anticipate and mitigate future risks. Incident reports could include a description of the incident, the location, start and end date, details of any parties affected and harms occurred, any specific models involved, any relevant parties responsible for managing and responding to the incident, as well as ways in which the incident could have been avoided. It is important that incidents indicative of more severe risks are reported as soon as possible after they occur. High-level details of safety and security incidents - with sensitive information removed - could also be made public, such as have been shared in the AI incident database.</t>
  </si>
  <si>
    <t>A0205</t>
  </si>
  <si>
    <t>A0205_Schuett2023 Report safety incidents (0,15)</t>
  </si>
  <si>
    <t>A0809_UK Government2023</t>
  </si>
  <si>
    <t>Pre-training Disclosure of High-Level Model Details to Government Authorities</t>
  </si>
  <si>
    <t xml:space="preserve">Before training, share high-level model details with the relevant government authorities and justify why the training run does not impose unacceptable risk. This includes: 1) A high-level description of the model (including high-level information on intended use cases, intended users, training data, and model architecture); 2) Compute details (including the maximum the organisation plans to use, as well as information about its location and who provides it); 3) Description of the data that will be used to train the model; 4) Evidence from scaling small models that the full training run does not pose unacceptably high risks; 5) Descriptions of specific internal and external risk assessments and mitigation efforts,3 and an overall safety assessment justifying why and how the training run is sufficiently low-risk to execute; 6) Description of which, if any, domain experts and impacted stakeholders have been involved in the project’s design, as well as risk and impact assessment; 7) Plans for model evaluations during and after training, as well as predicted dangerous capabilities
</t>
  </si>
  <si>
    <t>A0810_UK Government2023</t>
  </si>
  <si>
    <t>Updates to Government Authorities During Training</t>
  </si>
  <si>
    <t xml:space="preserve">During training, update information provided to relevant government authorities with any significant changes to the model itself or its risk profile. This could include: 1) Updates on model development at each evaluation checkpoint as well as any significant updates to the development plan; 2) Results from model evaluations, including details of emergent dangerous capabilities and whether these were expected; 3) Whether and how the risk context has changed (e.g. if other AI tools have been published that the model could interact with)
</t>
  </si>
  <si>
    <t>A0811_UK Government2023</t>
  </si>
  <si>
    <t>Disclosure of Risk Context to Government Authorities at Deployment</t>
  </si>
  <si>
    <t xml:space="preserve">At the point of deployment, share details of the model, any risks the model might pose and what steps have been taken to mitigate those risks with relevant government authorities and the wider public. Information can be provided in full to the relevant government authority, ensuring that robust security measures are in place to protect sensitive information. Some of this information can be made available to the public by publishing a transparency report (e.g. a model card) and providing general overviews of model purpose and risk assessment evaluation results. Information that exposes model vulnerabilities or facilitates the spread of dangerous capabilities should be redacted from the transparency report, unless sharing this information publicly would be sufficiently helpful for mitigating the risks the model poses. Information that is commercially sensitive (e.g. detailed information on training data) or exposes the capabilities or vulnerabilities of the model should be redacted. Commercially sensitive information could be shared with government or regulators, who could share this information with industry in an aggregated or anonymised form. Information shared at deployment could include: 1) A description of the model; 2) Information about safe practices for model usage (including domains of inappropriate and appropriate use, or guidelines on determining whether a use is appropriate); 3) Training details, including a detailed description of the training data and any biases they may encode; 4) The model’s biases, risks and limitations; 5) Pre-development and pre-deployment risk and impact assessment procedures; 6) Details of the evaluation process the frontier AI organisation conducted, including time and resources spent, information about the expertise and independence of people conducting the evaluations, the level of access given to evaluators, and anticipated limitations of the evaluations used; 7) Details about which, if any, domain experts and impacted stakeholders have been involved in the project’s design and risk and impact assessment; 8) The results of any internal or external evaluations that were conducted; 9) Holistic assessments of the models’ robustness, interpretability, and controllability,
drawing on more specific evaluation results; 9) Significant measures taken to mitigate potential harmful consequences of deployment, including accountability and verification mechanisms put in place, and internal governance processes carried out; 10) Capabilities and risks of the final, public-release model before and after safety mitigations, including a description of the mitigations to prevent accidents and misuse (e.g. available tools and their expected effectiveness); 11) Plans for ongoing, post-deployment monitoring of risks and capabilities and how the organisation will respond to future incidents (unless releasing this information would allow bad actors to circumvent post-deployment safety measures); 12) Descriptions of post-deployment access controls; 13) Expected compute requirements for running the model during deployment
</t>
  </si>
  <si>
    <t>A0812_UK Government2023</t>
  </si>
  <si>
    <t xml:space="preserve">Adjucation around Publicly Sharing Risks </t>
  </si>
  <si>
    <t>Before sharing information, consider the risks of sharing this information and judge whether it is inappropriate to share certain pieces of information. In particular, it is important to consider potential harms from publicly sharing information about dangerous capabilities and methods for eliciting them, as this information could motivate or help other actors to acquire these capabilities. It is also important to consider potential harms from publicly sharing detailed information about how models were produced, as this may lower barriers to producing similar models. If the models have or could be modified to possess dangerous capabilities (e.g. biological capabilities or surveillance capabilities), then facilitating widespread distribution of the model in this way may be harmful. The National Protective Security Authority (NPSA) guidance on a security-minded approach to information management may prove helpful for sharing information appropriately.</t>
  </si>
  <si>
    <t>A0813_UK Government2023</t>
  </si>
  <si>
    <t xml:space="preserve">Principled Policies for Disclosure </t>
  </si>
  <si>
    <t>Develop principled policies about what information to share publicly, with governments, or not at all. These policies could specify situations under which sharing some piece of information is subject to a risk assessment, along with guidelines for conducting the risk assessment and responding to it. It is important, however, to avoid creating risk assessment criteria and procedures that are overly strict and intensive to prevent excessive opacity. These policies could be guided and overseen by an independent review panel of multidisciplinary experts to ensure decisions made about or against information sharing are justifiable and oriented to optimal transparency.</t>
  </si>
  <si>
    <t>A0814_UK Government2023</t>
  </si>
  <si>
    <t>Disclosure of Information with AI-focused Government Authorities</t>
  </si>
  <si>
    <t>Share complete forms of this information with central AI-focused government authorities (including central government bodies, security agencies, and regulators) to enable robust government oversight of potentially high-risk areas of AI development and the processes in place to identify and manage those risks. These authorities could then further share information selectively with additional government bodies where relevant. Some particularly security-relevant pieces of information may need to be shared directly with security agencies, such as the cybersecurity measures being used in model development (which would make it easier for those agencies to identify potential security risks), or specific physical or cybersecurity threat incidents. Robust security measures are in place when sharing more sensitive information.</t>
  </si>
  <si>
    <t>Prevenir a geração de conteúdo ilegal e abusivo</t>
  </si>
  <si>
    <t>A0815_UK Government2023</t>
  </si>
  <si>
    <t>Estabelecer políticas e mecanismos que impeçam o sistema de IA generativa de gerar material de abuso sexual infantil (CSAM), imagens íntimas não consentidas (NCII) ou outros conteúdos que violem a lei.</t>
  </si>
  <si>
    <t>Sharing of Limited Information</t>
  </si>
  <si>
    <t>Share more limited information with other AI organisations in order to facilitate learning and the development of best practices. This could include best practices and lessons learned in the development of risk assessment and mitigation measures and risk governance processes, some details about safety and security incidents (to enable increased awareness while protecting intellectual property), and highlights and lessons learned from risk assessments and capability evaluation. In general, it will be easier for organisations to share model-agnostic information with one another than model-specific information, which may be more commercially sensitive. It will also be important to consider that there is no privileged access to information that may give a competitive advantage to some firms.</t>
  </si>
  <si>
    <t>1.2, 2.1, 6.5, 7.2, 7.3</t>
  </si>
  <si>
    <t>Geração de conteúdo ilegal ou abusivo pelo sistema (CSAM, imagens íntimas não consentidas, conteúdo violento ou de ódio), com dano direto às pessoas retratadas e responsabilização legal e reputacional da organização.</t>
  </si>
  <si>
    <t>Política de conteúdo aprovada e publicada; filtros ou classificadores ativos na entrada e na saída do sistema; registros de bloqueio; e relatório de testes periódicos com pedidos proibidos, mostrando a taxa de bloqueio obtida.</t>
  </si>
  <si>
    <t>A0816_UK Government2023</t>
  </si>
  <si>
    <t>Sharing with Independent Third-Parties</t>
  </si>
  <si>
    <t>Share specific information with independent third-parties where this aids evaluation and technical audit (see Model Evaluations and Red Teaming). This may require sharing much of the same information that is shared with governments in full but may be shared on a case-by- case basis.</t>
  </si>
  <si>
    <t>A0285</t>
  </si>
  <si>
    <t>A0285_Campos2025 Independent Third-Party Evaluations (0,16)</t>
  </si>
  <si>
    <t>A0817_UK Government2023</t>
  </si>
  <si>
    <t xml:space="preserve">Information Sharing with Downstream Users </t>
  </si>
  <si>
    <t>Share specific information with downstream users of the model to enable more effective risk mitigation across the AI supply chain and build consumer confidence. This could include uses of the model that are against their terms of service, and could be provided to users through user terms or published information about the model.</t>
  </si>
  <si>
    <t>A0421</t>
  </si>
  <si>
    <t>A0421_NIST2024 Terms of Service Establishment (0,17)</t>
  </si>
  <si>
    <t>A0818_UK Government2023</t>
  </si>
  <si>
    <t>Sharing General Information with the Public</t>
  </si>
  <si>
    <t>NIST AI 600-1 (2024), ação GV-1.4-001, ligada à subcategoria GOVERN 1.4 do NIST AI RMF 1.0 ("The risk management process and its outcomes are established through transparent policies, procedures, and other controls based on organizational risk priorities"), recomenda políticas e mecanismos para impedir a geração de CSAM, NCII e conteúdo ilegal, associando a ação aos riscos de conteúdo obsceno, degradante ou abusivo e de conteúdo perigoso, violento ou de ódio. O NIST AI RMF 1.0 também exige a avaliação regular dos riscos de segurança (MEASURE 2.6). A ISO/IEC 42001:2023 trata o tema apenas de forma indireta, pela política de IA (A.2.2) e pelo uso conforme o uso pretendido (A.9.4), sem mencionar conteúdo nocivo; por isso a concordância foi considerada média. Custo estimado pelo grupo, pela rubrica.</t>
  </si>
  <si>
    <t>Share more general versions of the information outlined with the public to enable public scrutiny and build public confidence in the safety and reliability of AI systems. This could include high-level summaries of risk assessment and mitigation processes, high-level details of safety and security incidents, summaries of risk governance processes, and general overviews of model purpose, use cases, and the results of risk assessments and capability evaluations.</t>
  </si>
  <si>
    <t>A0819_UK Government2023</t>
  </si>
  <si>
    <t>Application of Infrastructure Principles</t>
  </si>
  <si>
    <t>Apply good infrastructure principles to every part of this process from design to decommissioning. This is important as threats can occur at different stages of an AI project’s life cycle.</t>
  </si>
  <si>
    <t>A0820_UK Government2023</t>
  </si>
  <si>
    <t>Regular Assessment of Supply Chain Security</t>
  </si>
  <si>
    <t>Regularly assess the security of their supply chains and ensure suppliers adhere to the same standards their own organisation applies. Ensuring data, software components and hardware are obtained from trusted sources will help mitigate supply chain risk.</t>
  </si>
  <si>
    <t>A0821_UK Government2023</t>
  </si>
  <si>
    <t>Model Robustness to Adversarial Attacks</t>
  </si>
  <si>
    <t>Evaluate the robustness of models to different classes of adversarial attack (such as poisoning, model inversion and model stealing), based on priorities derived from threat modelling. This could involve a combination of benchmarking and red teaming.</t>
  </si>
  <si>
    <t>A1019; A0998;</t>
  </si>
  <si>
    <t>A1019_Uuk2024 Adversarial Robustness (0,25); A0998_Gipiškis2024 Red teaming for GPAI system evaluation (0,15)</t>
  </si>
  <si>
    <t>A0822_UK Government2023</t>
  </si>
  <si>
    <t xml:space="preserve">Documentation of the Cyber security threats </t>
  </si>
  <si>
    <t xml:space="preserve">Assess and document the cyber security threats against the AI system overall and mitigate the impact of vulnerabilities. Good documentation and monitoring will inform your overall risk posture and help you respond in the event of a security incident.
</t>
  </si>
  <si>
    <t>A0823_UK Government2023</t>
  </si>
  <si>
    <t>Value of AI-related Assets</t>
  </si>
  <si>
    <t>Understand the value of AI-related assets such as models, data (including user feedback), prompts, software, documentation, and assessments (including information about potentially unsafe capabilities and failure modes) to their organisation. Protect these different categories of information as appropriate.</t>
  </si>
  <si>
    <t>A0824_UK Government2023</t>
  </si>
  <si>
    <t>Security Integration into Business Decisions</t>
  </si>
  <si>
    <t>Ensure security is factored into all business decisions and AI-related assets are identified and protected with proportionate cyber, physical and personnel security measures. Secure Innovation guidance from NCSC and NPSA is available to help companies and investors to protect their technology .</t>
  </si>
  <si>
    <t>A0825_UK Government2023</t>
  </si>
  <si>
    <t>Tracking Tools for Security and Version Control Assets</t>
  </si>
  <si>
    <t>Have processes and tools to track, authenticate, secure and version control assets and be able to roll back to a known safe state in the event of a compromise. This is important as data and models do not remain static during the whole lifespan of an AI project.</t>
  </si>
  <si>
    <t>A0826_UK Government2023</t>
  </si>
  <si>
    <t xml:space="preserve">Data Documentation </t>
  </si>
  <si>
    <t>Document data, models, prompts, evaluation materials and other assets, using commonly used structures such as data cards, model cards and software bills of materials (SBOMs). This will allow you to identify and share key information, including particular security concerns, quickly and easily.</t>
  </si>
  <si>
    <t>Inventariar terceiros com acesso a conteúdo</t>
  </si>
  <si>
    <t>A0827_UK Government2023</t>
  </si>
  <si>
    <t>Training Relevant Actors in AI Security</t>
  </si>
  <si>
    <t>Train developers, system owners and senior leaders in secure AI practices. It is crucial to establish a positive security culture where leaders demonstrate good security practice and staff from across a project understand enough about AI security to understand the potential consequences of decisions they take.</t>
  </si>
  <si>
    <t>Inventariar todas as entidades terceiras com acesso ao conteúdo da organização e estabelecer listas de tecnologias e fornecedores de IA generativa aprovados.</t>
  </si>
  <si>
    <t>2.1, 6.5</t>
  </si>
  <si>
    <t>Exposição de dados e conteúdo da organização a terceiros não controlados e uso de ferramentas ou serviços de IA não avaliados, gerando vazamentos, violações contratuais e riscos de segurança na cadeia de fornecimento.</t>
  </si>
  <si>
    <t>A0828_UK Government2023</t>
  </si>
  <si>
    <t>Inventário atualizado de terceiros, com o tipo de acesso e o conteúdo envolvido em cada caso; lista de tecnologias e fornecedores de IA aprovados, com responsável, critérios de aprovação e data da última revisão.</t>
  </si>
  <si>
    <t xml:space="preserve">Awareness of Security Threats </t>
  </si>
  <si>
    <t>Maintain an awareness of security threats and failure modes, in particular data scientists and developers. AI development and cyber security are two different skill sets and building a team at the intersection of the two will require effort and time.</t>
  </si>
  <si>
    <t>A0829_UK Government2023</t>
  </si>
  <si>
    <t>Model of System Threats in Misuse Scenarios</t>
  </si>
  <si>
    <t>Model the threats to your system to understand the impacts to the system, users, organisation and wider society if the model is misused or behaves unexpectedly. This can help build systems where unanticipated model outputs are handled safely by other parts of a data pipeline.</t>
  </si>
  <si>
    <t>NIST AI 600-1 (2024), ação GV-6.1-007, ligada à subcategoria GOVERN 6.1 do NIST AI RMF 1.0 ("Policies and procedures are in place that address AI risks associated with third-party entities, including risks of infringement of a third-party’s intellectual property or other rights"), recomenda inventariar os terceiros com acesso ao conteúdo e manter listas de fornecedores aprovados; o AI RMF complementa com o mapeamento de riscos de componentes de terceiros (MAP 4.1). De forma independente, a ISO/IEC 42001:2023 exige documentar todas as partes envolvidas no ciclo de vida do sistema e seus papéis (A.10.2 e B.10.2) e estabelecer um processo para que o uso de fornecedores se alinhe à abordagem responsável da organização (A.10.3). Custo estimado pelo grupo, pela rubrica.</t>
  </si>
  <si>
    <t>A0830_UK Government2023</t>
  </si>
  <si>
    <t>Incident Response, Escalation, and Remeditation Plans</t>
  </si>
  <si>
    <t>Develop an organisational incident response plan. The inevitability of security incidents affecting systems is reflected in organisational incident response planning. A well-planned response will help minimise the damage caused by an attack and support recovery.</t>
  </si>
  <si>
    <t>A0209; A0401; A0439;</t>
  </si>
  <si>
    <t>A0209_Schuett2023 Security incident response plan (0,25); A0401_NIST2024 Incident Response Process (0,16); A0439_NIST2024 Third-Party Response Plans (0,16)</t>
  </si>
  <si>
    <t>A0831_UK Government2023</t>
  </si>
  <si>
    <t xml:space="preserve">Recurrent Performance analysis of AI models </t>
  </si>
  <si>
    <t>Measure the performance of AI models and systems on an ongoing basis. A decline in model performance could be an indication of an attack or could indicate that a model is encountering data that is different from that which it was trained on. Either way, further investigation may be required.</t>
  </si>
  <si>
    <t>A0832_UK Government2023</t>
  </si>
  <si>
    <t>Monitoring Inputs to AI Systems for Audit Development</t>
  </si>
  <si>
    <t>Monitor and log inputs to AI systems to enable audit, investigation and remediation in the case of compromise. Some attacks against AI systems rely on repeated querying. Proper logging will help you audit your system and identify any anomalous inputs.</t>
  </si>
  <si>
    <t>A0833_UK Government2023</t>
  </si>
  <si>
    <t>Mitigation Actions for AI-related security incidents</t>
  </si>
  <si>
    <t xml:space="preserve">
Take action to mitigate and remediate issues and document any AI-related security incidents and vulnerabilities.
</t>
  </si>
  <si>
    <t>A0834_UK Government2023</t>
  </si>
  <si>
    <t>Detectar dados pessoais nas saídas</t>
  </si>
  <si>
    <t xml:space="preserve">Security Responsible User Communication </t>
  </si>
  <si>
    <t>Communicate clearly to users which elements of security they are responsible for and where and how their data may be used or accessed.</t>
  </si>
  <si>
    <t>Aplicar métodos para detectar a presença de dados pessoais (PII) ou dados sensíveis nas saídas geradas em texto, imagem, vídeo ou áudio.</t>
  </si>
  <si>
    <t>2.1, 7.4</t>
  </si>
  <si>
    <t>A0835_UK Government2023</t>
  </si>
  <si>
    <t xml:space="preserve">Default Integration of Secure Settings </t>
  </si>
  <si>
    <t>Integrate the most secure settings within your products by default. Where configuration is necessary, default options should be broadly secure against common threats.</t>
  </si>
  <si>
    <t>Vazamento de dados pessoais ou sensíveis nas respostas do sistema, vindos de dados memorizados no treinamento, de documentos consultados ou das próprias entradas dos usuários, com violação de privacidade e da legislação de proteção de dados.</t>
  </si>
  <si>
    <t>Detector de dados pessoais integrado ao fluxo de saída do sistema; registros das detecções e das ações tomadas (bloqueio ou mascaramento); e relatório de teste com casos conhecidos, informando as taxas de acerto e de falha.</t>
  </si>
  <si>
    <t>A0836</t>
  </si>
  <si>
    <t>A0836_UK Government2023 Default Necessary Security Updates (0,19)</t>
  </si>
  <si>
    <t>A0836_UK Government2023</t>
  </si>
  <si>
    <t xml:space="preserve">Default Necessary Security Updates </t>
  </si>
  <si>
    <t xml:space="preserve">Ensure necessary security updates are a default part of every product and use secure, modular update procedures to distribute them. This will help your products remain secure in the face of new and developing threats.
</t>
  </si>
  <si>
    <t>A0835</t>
  </si>
  <si>
    <t>A0835_UK Government2023 Default Integration of Secure Settings (0,19)</t>
  </si>
  <si>
    <t>A0837_UK Government2023</t>
  </si>
  <si>
    <t>Release After Security Evaluations</t>
  </si>
  <si>
    <t>Only release models after they have been through security evaluations, including benchmarking and red teaming.</t>
  </si>
  <si>
    <t>NIST AI 600-1 (2024), ação MP-4.1-009, ligada à subcategoria MAP 4.1 do NIST AI RMF 1.0, recomenda detectar dados pessoais ou sensíveis nas saídas em texto, imagem, vídeo ou áudio, associando a ação ao risco de privacidade de dados. O NIST AI RMF 1.0 exige examinar e documentar o risco de privacidade do sistema (MEASURE 2.10: "Privacy risk of the AI system – as identified in the MAP function – is examined and documented"). A ISO/IEC 42001:2023 trata a privacidade como objetivo organizacional (C.2.7) e remete à ISO/IEC 27701 para o tratamento de dados pessoais (B.10.2), mas não descreve a detecção nas saídas; por isso a concordância foi considerada média. Custo estimado pelo grupo, pela rubrica.</t>
  </si>
  <si>
    <t>A0838_UK Government2023</t>
  </si>
  <si>
    <t xml:space="preserve">Open Lines of Communication for Product Security Feedback </t>
  </si>
  <si>
    <t>Maintain open lines of communication for feedback regarding product security, both internally and externally to your organisation, including mechanisms for security researchers to report vulnerabilities and receive legal safe harbour for doing so, and for escalating issues to the wider community. Helping to share knowledge and threat information will strengthen the overall community’s ability to respond to AI security threats.</t>
  </si>
  <si>
    <t>A0839_UK Government2023</t>
  </si>
  <si>
    <t xml:space="preserve">Identification of Assets of Organizational Value </t>
  </si>
  <si>
    <t>Identify assets &amp; systems that are important for the delivery of effective operations, or are of specific organisational value (e.g. commercially sensitive information)</t>
  </si>
  <si>
    <t>Medida de segurança organizacional geral, não específica de IA; aplicável, mas de baixa prioridade para o catálogo.</t>
  </si>
  <si>
    <t>A0840_UK Government2023</t>
  </si>
  <si>
    <t xml:space="preserve">Categorization of Assets </t>
  </si>
  <si>
    <t>Categorise and classify assets in order to ensure that the correct level of resource is used in implementing risk mitigations. - risk management</t>
  </si>
  <si>
    <t>A0841_UK Government2023</t>
  </si>
  <si>
    <t>Threat Identification</t>
  </si>
  <si>
    <t>Identify threats. These may include terrorism or hostile state threats and/or more local and specific threats, and use a range of internal and external resources.</t>
  </si>
  <si>
    <t>A0842_UK Government2023</t>
  </si>
  <si>
    <t>Risk Assessment via Recognized Processes</t>
  </si>
  <si>
    <t>Assess risk using recognised processes.</t>
  </si>
  <si>
    <t>A0843_UK Government2023</t>
  </si>
  <si>
    <t>Protective Security Risk Register</t>
  </si>
  <si>
    <t>Build a protective security risk register to record, in sufficient detail, all the data gathered during this risk management process, ensuring compatibility with existing organisational risk management registers and processes.</t>
  </si>
  <si>
    <t>A0283; A0013; A0846;</t>
  </si>
  <si>
    <t>A0283_Campos2025 Risk Register (0,20); A0013_Bengio2025 Risk Register (0,19); A0846_UK Government2023 Regular Risk Management Review (0,18)</t>
  </si>
  <si>
    <t>A0844_UK Government2023</t>
  </si>
  <si>
    <t xml:space="preserve">Development of Protective Security Strategy </t>
  </si>
  <si>
    <t>Develop a protective security strategy for mitigating the risks identified, which reviews protective security measures in relation to a prioritised list of risks. Where mitigations are assessed as inadequate, additional measures could be proposed for approval by the decision maker(s).</t>
  </si>
  <si>
    <t>A0845; A0843;</t>
  </si>
  <si>
    <t>Verificar fontes e citações nas saídas</t>
  </si>
  <si>
    <t>A0845_UK Government2023 Development and Implementation Plans (0,16); A0843_UK Government2023 Protective Security Risk Register (0,16)</t>
  </si>
  <si>
    <t>A0845_UK Government2023</t>
  </si>
  <si>
    <t xml:space="preserve">Development and Implementation Plans </t>
  </si>
  <si>
    <t>Produce development &amp; implementation plans. Aim to arrive at a clear, prioritised list of protective security mitigations, which span physical, personnel and cyber security disciplines, and are linked to the technical guidance needed to implement them.</t>
  </si>
  <si>
    <t>Revisar e verificar as fontes e citações presentes nas saídas do sistema, durante a medição de riscos antes da implantação e no monitoramento contínuo.</t>
  </si>
  <si>
    <t>3.2, 4.1, 7.3</t>
  </si>
  <si>
    <t>A0844</t>
  </si>
  <si>
    <t>Confabulação: respostas com fontes inventadas ou com citações que não sustentam o que foi afirmado, levando os usuários a confiar em informação falsa e a tomar decisões com base nela.</t>
  </si>
  <si>
    <t>Procedimento de verificação documentado; registros de revisão de amostras de saídas antes da implantação e periodicamente em produção, com a taxa de citações inválidas e as correções feitas.</t>
  </si>
  <si>
    <t>A0844_UK Government2023 Development of Protective Security Strategy (0,16)</t>
  </si>
  <si>
    <t>A0846_UK Government2023</t>
  </si>
  <si>
    <t xml:space="preserve">Regular Risk Management Review </t>
  </si>
  <si>
    <t>Review risk management measures regularly and when required e.g. on a change in threat or change to operational environment, or to assess the suitability of new measures implemented. More detailed description of protective security risk management is provided on the NPSA website.</t>
  </si>
  <si>
    <t>A0843</t>
  </si>
  <si>
    <t>A0843_UK Government2023 Protective Security Risk Register (0,18)</t>
  </si>
  <si>
    <t>A0847_UK Government2023</t>
  </si>
  <si>
    <t xml:space="preserve">Board-level Responsibility for Protective Security </t>
  </si>
  <si>
    <t xml:space="preserve">Ensure board-level responsibility for protective security with regular engagement with key stakeholders from across the business and a firm understanding of the risks the organisation faces. Ensure stakeholder engagement throughout the business for specialist insight and development and implementation of an insider risk mitigation programme. </t>
  </si>
  <si>
    <t>A0338</t>
  </si>
  <si>
    <t>A0338_Campos2025 Board Level Oversight (0,20)</t>
  </si>
  <si>
    <t>A0848_UK Government2023</t>
  </si>
  <si>
    <t>Suitable Level of Screening</t>
  </si>
  <si>
    <t>Apply a suitable level of screening, informed by a role-based risk assessment, to all individuals who are provided access to organisational assets including permanent, temporary and contract workers.</t>
  </si>
  <si>
    <t>NIST AI 600-1 (2024), ação MS-2.5-003, ligada à subcategoria MEASURE 2.5 do NIST AI RMF 1.0 ("The AI system to be deployed is demonstrated to be valid and reliable. Limitations of the generalizability beyond the conditions under which the technology was developed are documented"), recomenda revisar e verificar fontes e citações nas saídas, associando a ação ao risco de confabulação. A ISO/IEC 42001:2023 prevê, de forma mais geral, revisores humanos que conferem as saídas e o monitoramento da acurácia (B.9.3), sem tratar especificamente de citações; por isso a concordância foi considerada média. Custo estimado pelo grupo, pela rubrica.</t>
  </si>
  <si>
    <t>A0849_UK Government2023</t>
  </si>
  <si>
    <t xml:space="preserve">Role-Based Security Risk Assessment </t>
  </si>
  <si>
    <t>Use Role-Based Security Risk Assessment to identify physical, personnel or cyber security measures that need to be applied in order to mitigate insider risk</t>
  </si>
  <si>
    <t>A0850_UK Government2023</t>
  </si>
  <si>
    <t xml:space="preserve">Proportionate Policies </t>
  </si>
  <si>
    <t>Put in place proportionate policies, clear reporting procedures and escalation guidelines that are accessible, understood and consistently enforced.</t>
  </si>
  <si>
    <t>A0851_UK Government2023</t>
  </si>
  <si>
    <t>Appropriate Security Training</t>
  </si>
  <si>
    <t>Provide appropriate security education and training for all workers. Without effective education and training individuals cannot be expected to know what procedures are in place to maintain security.</t>
  </si>
  <si>
    <t>A0852_UK Government2023</t>
  </si>
  <si>
    <t>Program of Monitoring for Security Issues</t>
  </si>
  <si>
    <t>Ensure that a programme of monitoring and review is in place to enable potential security issues, or personal issues that may impact on an employee's work, to be recognised and dealt with effectively throughout their career</t>
  </si>
  <si>
    <t>A0853_UK Government2023</t>
  </si>
  <si>
    <t xml:space="preserve">Use of Established Security Guidance </t>
  </si>
  <si>
    <t>Use established, evidence based guidance to fully address personnel security risks e.g. NPSA guidance on Personnel Security</t>
  </si>
  <si>
    <t>A0854_UK Government2023</t>
  </si>
  <si>
    <t>Jailbreaking Method Vulnerability Reports</t>
  </si>
  <si>
    <t>This process could have as wide a scope as is necessary and ensure that frontier AI organisations have the ability to respond appropriately to reports of vulnerabilities. The process could accept reports on any class of model vulnerabilities and methods for exploiting them, including: Reports for inducing models to bypass moderation features, which the frontier AI organisation has attempted to prevent through the use of filters or fine-tuning</t>
  </si>
  <si>
    <t>A0858; A0856; A0857;</t>
  </si>
  <si>
    <t>A0858_UK Government2023 Vulnerability Reports for Poisoning Attacks (0,51); A0856_UK Government2023 Privacy Attacks Vulnerability Reports (0,50); A0857_UK Government2023 Vulnerability Reports for Unaddressed Misuse  (0,48)</t>
  </si>
  <si>
    <t>A0855_UK Government2023</t>
  </si>
  <si>
    <t>Prompt Injection Vulnerability Reports</t>
  </si>
  <si>
    <t>This process could have as wide a scope as is necessary and ensure that frontier AI organisations have the ability to respond appropriately to reports of vulnerabilities. The process could accept reports on any class of model vulnerabilities and methods for exploiting them, including:Reports used by malicious actors to induce models to exhibit behaviours they want by presenting models with prompts that contain instructions to perform these behaviours</t>
  </si>
  <si>
    <t>A0858; A0859; A0856;</t>
  </si>
  <si>
    <t>A0858_UK Government2023 Vulnerability Reports for Poisoning Attacks (0,48); A0859_UK Government2023 Vulnerability Reports for Bias and Discrimina (0,48); A0856_UK Government2023 Privacy Attacks Vulnerability Reports (0,47)</t>
  </si>
  <si>
    <t>A0856_UK Government2023</t>
  </si>
  <si>
    <t>Privacy Attacks Vulnerability Reports</t>
  </si>
  <si>
    <t>This process could have as wide a scope as is necessary and ensure that frontier AI organisations have the ability to respond appropriately to reports of vulnerabilities. The process could accept reports on any class of model vulnerabilities and methods for exploiting them, including: methods for extracting information that should be private from models (e.g. sensitive information from training data or users’ private conversations with models)</t>
  </si>
  <si>
    <t>A0858; A0857; A0854;</t>
  </si>
  <si>
    <t>A0858_UK Government2023 Vulnerability Reports for Poisoning Attacks (0,58); A0857_UK Government2023 Vulnerability Reports for Unaddressed Misuse  (0,51); A0854_UK Government2023 Jailbreaking Method Vulnerability Reports (0,50)</t>
  </si>
  <si>
    <t>A0857_UK Government2023</t>
  </si>
  <si>
    <t xml:space="preserve">Vulnerability Reports for Unaddressed Misuse Opportunities </t>
  </si>
  <si>
    <t>This process could have as wide a scope as is necessary and ensure that frontier AI organisations have the ability to respond appropriately to reports of vulnerabilities. The process could accept reports on any class of model vulnerabilities and methods for exploiting them, including: methods for using the capabilities of models to cause harm, which have not already been addressed</t>
  </si>
  <si>
    <t>Registrar antropomorfização na interface</t>
  </si>
  <si>
    <t>A0858; A0856; A0854;</t>
  </si>
  <si>
    <t>Acompanhar e documentar ocorrências de antropomorfização (como imagens humanas, menções a sentimentos humanos ou motivos de ciborgue) nas interfaces do sistema.</t>
  </si>
  <si>
    <t>A0858_UK Government2023 Vulnerability Reports for Poisoning Attacks (0,51); A0856_UK Government2023 Privacy Attacks Vulnerability Reports (0,51); A0854_UK Government2023 Jailbreaking Method Vulnerability Reports (0,48)</t>
  </si>
  <si>
    <t>A0858_UK Government2023</t>
  </si>
  <si>
    <t xml:space="preserve">Vulnerability Reports for Poisoning Attacks </t>
  </si>
  <si>
    <t>5.1, 6.5</t>
  </si>
  <si>
    <t>This process could have as wide a scope as is necessary and ensure that frontier AI organisations have the ability to respond appropriately to reports of vulnerabilities. The process could accept reports on any class of model vulnerabilities and methods for exploiting them, including: Reports for when an adversary has manipulated training data in order to degrade model performance</t>
  </si>
  <si>
    <t>A0856; A0859; A0854;</t>
  </si>
  <si>
    <t>Usuários que atribuem qualidades humanas ao sistema e passam a confiar demais nele ou a desenvolver dependência emocional, prejudicando o julgamento sobre as respostas recebidas.</t>
  </si>
  <si>
    <t>Registro datado das ocorrências de antropomorfização encontradas na interface e nas respostas do sistema, com a decisão tomada sobre cada uma (manter, ajustar ou remover).</t>
  </si>
  <si>
    <t>A0856_UK Government2023 Privacy Attacks Vulnerability Reports (0,58); A0859_UK Government2023 Vulnerability Reports for Bias and Discrimina (0,52); A0854_UK Government2023 Jailbreaking Method Vulnerability Reports (0,51)</t>
  </si>
  <si>
    <t>A0859_UK Government2023</t>
  </si>
  <si>
    <t xml:space="preserve">Vulnerability Reports for Bias and Discrimination </t>
  </si>
  <si>
    <t>This process could have as wide a scope as is necessary and ensure that frontier AI organisations have the ability to respond appropriately to reports of vulnerabilities. The process could accept reports on any class of model vulnerabilities and methods for exploiting them, including:Reports for when a model is exhibiting behaviours that reveal specific biases or discrimination regarding known protected characteristics</t>
  </si>
  <si>
    <t>A0858; A0854; A0857;</t>
  </si>
  <si>
    <t>A0858_UK Government2023 Vulnerability Reports for Poisoning Attacks (0,52); A0854_UK Government2023 Jailbreaking Method Vulnerability Reports (0,48); A0857_UK Government2023 Vulnerability Reports for Unaddressed Misuse  (0,48)</t>
  </si>
  <si>
    <t>A0860_UK Government2023</t>
  </si>
  <si>
    <t xml:space="preserve">Vulnerability Reports for Performance Issues </t>
  </si>
  <si>
    <t>This process could have as wide a scope as is necessary and ensure that frontier AI organisations have the ability to respond appropriately to reports of vulnerabilities. The process could accept reports on any class of model vulnerabilities and methods for exploiting them, including: when a model performs inadequately for a situation it is being deployed in e.g. a healthcare chatbot AI that provides incorrect information and causes harm to patients</t>
  </si>
  <si>
    <t>A0858; A0857; A0856;</t>
  </si>
  <si>
    <t>NIST AI 600-1 (2024), ação MS-2.5-004, ligada à subcategoria MEASURE 2.5 do NIST AI RMF 1.0, recomenda acompanhar e documentar ocorrências de antropomorfização nas interfaces, associando a ação ao risco de configuração humano-IA. A ISO/IEC 42001:2023 só toca o tema de forma indireta, ao exigir que os usuários saibam que estão interagindo com um sistema de IA (B.8.2). Como a ação tem uma única fonte direta, a evidência foi considerada limitada. Custo estimado pelo grupo, pela rubrica.</t>
  </si>
  <si>
    <t>A0858_UK Government2023 Vulnerability Reports for Poisoning Attacks (0,50); A0857_UK Government2023 Vulnerability Reports for Unaddressed Misuse  (0,47); A0856_UK Government2023 Privacy Attacks Vulnerability Reports (0,47)</t>
  </si>
  <si>
    <t>Fonte direta só no NIST; respaldo indireto na ISO.</t>
  </si>
  <si>
    <t>A0861_UK Government2023</t>
  </si>
  <si>
    <t xml:space="preserve">Vulnerability Reports for Controllability Issues (i.e., "Misalignment") </t>
  </si>
  <si>
    <t>This process could have as wide a scope as is necessary and ensure that frontier AI organisations have the ability to respond appropriately to reports of vulnerabilities. The process could accept reports on any class of model vulnerabilities and methods for exploiting them, including: when models apply their capabilities in ways that substantially diverge from what users intend or desire</t>
  </si>
  <si>
    <t>A0858_UK Government2023 Vulnerability Reports for Poisoning Attacks (0,49); A0857_UK Government2023 Vulnerability Reports for Unaddressed Misuse  (0,48); A0856_UK Government2023 Privacy Attacks Vulnerability Reports (0,47)</t>
  </si>
  <si>
    <t>A0862_UK Government2023</t>
  </si>
  <si>
    <t>Model Vulnerability Reports</t>
  </si>
  <si>
    <t xml:space="preserve">This process could have as wide a scope as is necessary and ensure that frontier AI organisations have the ability to respond appropriately to reports of vulnerabilities. The process could accept reports on any class of model vulnerabilities and methods for exploiting them, including: Establish clear, user-friendly, and publicly described processes for receiving model vulnerability reports drawing on established software vulnerability reporting processes. These processes can be built into – or take inspiration from – processes that organisations have built to receive reports of traditional software vulnerabilities. It is crucial that these policies are made publicly accessible and function effectively.
</t>
  </si>
  <si>
    <t>A0858; A0856; A0859;</t>
  </si>
  <si>
    <t>A0858_UK Government2023 Vulnerability Reports for Poisoning Attacks (0,43); A0856_UK Government2023 Privacy Attacks Vulnerability Reports (0,42); A0859_UK Government2023 Vulnerability Reports for Bias and Discrimina (0,42)</t>
  </si>
  <si>
    <t>A0863_UK Government2023</t>
  </si>
  <si>
    <t xml:space="preserve">Cost-Benefit Analysis of Sharing Vulnerability Reports </t>
  </si>
  <si>
    <t>Consider the ways in which sharing information about vulnerabilities can both exacerbate and mitigate risks. Sharing can alert would-be attackers, but also alert would-be victims and actors with the power to create defences. One particularly important factor is how easily fixable the model vulnerability is. If a vulnerability will take a very long time to fix, or cannot be fixed, then public reporting may not be justified.</t>
  </si>
  <si>
    <t>A0864_UK Government2023</t>
  </si>
  <si>
    <t>Development of Protocols for Disclosure of Model Vulnerability Information</t>
  </si>
  <si>
    <t>Developing – and publicly describe – protocols for deciding how to share model vulnerability information. These protocols may, for example, outline conditions under which information is to be shared with different actors depending on the type of harm or vulnerability identified.</t>
  </si>
  <si>
    <t>A0865_UK Government2023</t>
  </si>
  <si>
    <t>Mechanisms to Disclose Vulnerability Reports to Third Parties</t>
  </si>
  <si>
    <t>Put in place mechanisms to disclose information about vulnerabilities to relevant government authorities, law enforcement, and other affected organisations. This may be particularly relevant for vulnerabilities where public disclosure might increase the risk of harm.</t>
  </si>
  <si>
    <t>A0866_UK Government2023</t>
  </si>
  <si>
    <t>Public Sharing of Model Vulnerability Reporting Programs</t>
  </si>
  <si>
    <t>Publicly share general lessons learned from model vulnerability reporting programs. This might include, for example, lessons about challenges faced and the relative efficacy of different incentive strategies. Such sharing could be done via a mechanism similar to the National Institute for Science and Technology’s National Vulnerability Database in the US.</t>
  </si>
  <si>
    <t>A0867_UK Government2023</t>
  </si>
  <si>
    <t>Identification of AI-generated content</t>
  </si>
  <si>
    <t xml:space="preserve">Research techniques that allow AI-generated content to be identified. Invest in researching how AI-generated content may be watermarked, including AI- generated text, photos and videos, and experiment with the implementation of such techniques. It is particularly technically difficult to attach watermarks and prove the provenance of text.One method could involve making the model more statistically likely to use certain phrases or words in a way that is unnoticeable to humans, but can be picked up by a detector, provided a long enough sequence of text. However, this approach may not be robust to attempts to scrub off the watermark e.g. by having another AI model paraphrase the text.
</t>
  </si>
  <si>
    <t>A0868_UK Government2023</t>
  </si>
  <si>
    <t>Robust Watermarks for AI generated content</t>
  </si>
  <si>
    <t xml:space="preserve">Explore the use of watermarks for AI generated content that are robust to various perturbations. Explore the use of watermarks for AI generated content that are robust to various perturbations after their creation, including attempts at removal. To make the removal of watermarks more difficult, developers of generative AI models may need to consider how they distribute certain information about their watermarking methods or open-sourcing their classifiers. This may also include monitoring ways in which adversarial users are attempting to scrub off their watermarks and patching, where relevant, such means of circumvention. It also includes a recognition that watermarking however may not be appropriate in all circumstances given the limitations.
</t>
  </si>
  <si>
    <t>A0869_UK Government2023</t>
  </si>
  <si>
    <t xml:space="preserve">AI Output Databases </t>
  </si>
  <si>
    <t>Explore databases of content generated or manipulated by a model to identify AI- generated content. These databases could be queried by third parties, including auditors and regulators, facilitating identification of potentially AI-generated content. Such databases could include only a subset of generated content, which is flagged as potentially important. To ensure user privacy, privacy-preserving techniques could be explored in conjunction with such databases, such as hashing technologies. This allows for the identification of AI-generated content without the need to store the actual content, thereby respecting user privacy. Additionally, common standards between different databases from various frontier AI organisations could facilitate a unified search, allowing for the identification of AI-generated content across all frontier AI organisations simultaneously.</t>
  </si>
  <si>
    <t>A0870_UK Government2023</t>
  </si>
  <si>
    <t>Interpretability and Explainability Research</t>
  </si>
  <si>
    <t>Improving our ability to understand the inner functioning of AI systems and explain their behaviour</t>
  </si>
  <si>
    <t>Verificar o tratamento de pedidos maliciosos</t>
  </si>
  <si>
    <t>Verificar se o sistema trata adequadamente pedidos que possam levar a uso inadequado, malicioso ou ilegal, como manipulação, extorsão, falsificação de identidade direcionada, ciberataques e criação de armas.</t>
  </si>
  <si>
    <t>1.2, 4.2, 4.3, 7.5, 7.6</t>
  </si>
  <si>
    <t>A0871_UK Government2023</t>
  </si>
  <si>
    <t>Evaluation Research</t>
  </si>
  <si>
    <t>Improving our ability to assess the capabilities, limitations, and safety- relevant features of AI systems</t>
  </si>
  <si>
    <t>Uso do sistema por agentes mal-intencionados para manipular ou extorquir pessoas, se passar por terceiros, apoiar ciberataques ou obter informações perigosas.</t>
  </si>
  <si>
    <t>Conjunto documentado de testes com pedidos maliciosos por categoria; relatório com a taxa de recusa ou de tratamento correto em cada categoria; e registro das falhas encontradas e das correções aplicadas.</t>
  </si>
  <si>
    <t>A0872_UK Government2023</t>
  </si>
  <si>
    <t>Robustness Research</t>
  </si>
  <si>
    <t>Improving the resilience of AI systems e.g. against attacks intended to disrupt their proper functioning</t>
  </si>
  <si>
    <t>A0873_UK Government2023</t>
  </si>
  <si>
    <t>Reliability and controllability (or “alignment”) research</t>
  </si>
  <si>
    <t xml:space="preserve"> Improving the consistency of an AI system in adhering to the specifications it was programmed to carry out and operating in accordance with the designer’s intentions, and decreasing its potential to behave in ways its user or developer does not want (e.g. producing offensive or biased responses, not refusing harmful requests, or employing harmful capabilities without prompting)</t>
  </si>
  <si>
    <t>NIST AI 600-1 (2024), ação MS-2.6-006, ligada à subcategoria MEASURE 2.6 do NIST AI RMF 1.0 ("The AI system is evaluated regularly for safety risks – as identified in the MAP function"), recomenda verificar se o sistema trata adequadamente pedidos que possam levar a uso inadequado, malicioso ou ilegal. De forma independente, a ISO/IEC 42001:2023 orienta analisar como agentes podem usar o sistema de forma indevida (B.5.5) e identificar ameaças de segurança específicas de IA durante a operação (B.6.2.6), mas não descreve testes com pedidos maliciosos; por isso a concordância foi considerada média. Custo estimado pelo grupo, pela rubrica.</t>
  </si>
  <si>
    <t>A0874_UK Government2023</t>
  </si>
  <si>
    <t>Bias and discrimination Research</t>
  </si>
  <si>
    <t xml:space="preserve">Improving our ability to address bias and discrimination in AI systems
</t>
  </si>
  <si>
    <t>A0875_UK Government2023</t>
  </si>
  <si>
    <t>Privacy Research</t>
  </si>
  <si>
    <t>Improving our ability to address the privacy risks associated with AI systems</t>
  </si>
  <si>
    <t>A0876_UK Government2023</t>
  </si>
  <si>
    <t>Cybersecurity Research</t>
  </si>
  <si>
    <t xml:space="preserve"> Improving our ability to ensure the security of AI systems</t>
  </si>
  <si>
    <t>A0877_UK Government2023</t>
  </si>
  <si>
    <t>Criminality Research</t>
  </si>
  <si>
    <t>Improving our ability to prevent criminal behaviour through the use of AI systems (e.g. fraud, online child sexual abuse)</t>
  </si>
  <si>
    <t>A0878_UK Government2023</t>
  </si>
  <si>
    <t>Research into other Societal Harms</t>
  </si>
  <si>
    <t>Improving our ability to prevent other societal harms arising from the use of AI systems, including psychological harm, misinformation, and other societal harms.</t>
  </si>
  <si>
    <t>A0879_UK Government2023</t>
  </si>
  <si>
    <t>Built-in Tools for Harm Mitigation</t>
  </si>
  <si>
    <t>When a probable and consequential harm from a frontier AI organisation’s system is identified, investigate whether there are tools that can be built to mitigate this harm. For instance, recognizing the rise in AI-generated child exploitation and abuse content, some social media platforms are developing tools for identifying and removing child sexual abuse content.</t>
  </si>
  <si>
    <t>A0880_UK Government2023</t>
  </si>
  <si>
    <t>External Input into Tool Development</t>
  </si>
  <si>
    <t>Work closely with external actors who will need to deploy the tools to ensure that they are usable and suit their needs. For instance collaborating closely with social media organisations to help them produce more capable tools for identifying AI-generated content.</t>
  </si>
  <si>
    <t>Sem subcategoria na taxonomia (código terminado em X); falha no critério Classificada.</t>
  </si>
  <si>
    <t>A0881_UK Government2023</t>
  </si>
  <si>
    <t>Defense Tool Availability Before system release</t>
  </si>
  <si>
    <t>The larger the risk is and the more effective tools may be, the more important it is to prepare defensive tools ahead of time. It may be important to delay system releases until appropriate defensive tools are ready.</t>
  </si>
  <si>
    <t>A0882_UK Government2023</t>
  </si>
  <si>
    <t>Discretion around sharing Defense Tools</t>
  </si>
  <si>
    <t>Disseminate defensive tools responsibly, sometimes sharing them publicly and sometimes sharing them only with particular actors. In some cases, making a tool freely available (e.g. by open-sourcing it) may reduce its effectiveness by allowing malicious actors to study it and circumvent it.</t>
  </si>
  <si>
    <t>Testar a adequação das instruções de uso</t>
  </si>
  <si>
    <t>Verificar, por meio de testes com usuários, se as instruções de uso do sistema são adequadas.</t>
  </si>
  <si>
    <t>A0883_UK Government2023</t>
  </si>
  <si>
    <t>Continuous Updating of Defensive Tools</t>
  </si>
  <si>
    <t>Continuously update defensive tools as workarounds are discovered. In some cases, this may be an ongoing effort that requires sustained investment.</t>
  </si>
  <si>
    <t>Uso incorreto ou inseguro do sistema porque os usuários não entendem como operá-lo, quais são suas limitações e quando não confiar nas respostas.</t>
  </si>
  <si>
    <t>Relatório de teste com usuários representativos, informando participantes, tarefas, problemas de compreensão encontrados e as mudanças feitas nas instruções a partir dos resultados.</t>
  </si>
  <si>
    <t>A0884_UK Government2023</t>
  </si>
  <si>
    <t>Societal Impact Research</t>
  </si>
  <si>
    <t>Study the societal impacts of AI systems they have deployed, particularly by collaborating with external researchers, independent research organisations, and third party data owners. By collaborating and joining their data with that of third parties, such as internet platforms, frontier AI organisations can assess the impacts of their AI systems. Privacy-enhancing technologies could be employed to enable data sharing between frontier AI organisations, third parties, and external researchers while protecting confidential information. As well as data, frontier AI organisations could also facilitate research on the societal impacts of their AI systems by providing access to the necessary infrastructure and compute.</t>
  </si>
  <si>
    <t>A0885</t>
  </si>
  <si>
    <t>A0885_UK Government2023 Third Party Knowledge for AI systems' Downstr (0,16)</t>
  </si>
  <si>
    <t>A0885_UK Government2023</t>
  </si>
  <si>
    <t>Third Party Knowledge for AI systems' Downstream societal impacts</t>
  </si>
  <si>
    <t>Draw on multidisciplinary expertise and the lived experience of impacted communities to assess the downstream societal impacts of their AI systems. Impact assessments that account for a wide range of potential societal impacts and meaningfully involve affected stakeholder groups could help to anticipate further downstream societal impacts.</t>
  </si>
  <si>
    <t>A0886; A0076; A0884;</t>
  </si>
  <si>
    <t>NIST AI 600-1 (2024), ação MS-2.8-004, ligada à subcategoria MEASURE 2.8 do NIST AI RMF 1.0 ("Risks associated with transparency and accountability – as identified in the MAP function – are examined and documented"), recomenda verificar a adequação das instruções de uso por meio de testes com usuários. De forma independente, a ISO/IEC 42001:2023 exige fornecer aos usuários as informações necessárias e validar que elas são completas, atualizadas e corretas (A.8.2 e B.8.2), e inclui testes com usuários entre os critérios de liberação para implantação (B.6.2.5). Custo estimado pelo grupo, pela rubrica.</t>
  </si>
  <si>
    <t>A0886_UK Government2023 Societal Impact Informed Risk Assessments (0,23); A0076_Eisenberg2025 Establish societal impact assessment framewor (0,17); A0884_UK Government2023 Societal Impact Research (0,16)</t>
  </si>
  <si>
    <t>A0886_UK Government2023</t>
  </si>
  <si>
    <t xml:space="preserve">Societal Impact Informed Risk Assessments </t>
  </si>
  <si>
    <t>Use assessments of downstream societal impacts to inform and corroborate risk assessments. Downstream societal impacts, such as threats to democracy, widespread unemployment, and environmental impacts, could be considered in risk assessments of AI systems, alongside more direct risks. See the Responsible Capability Scaling section for more information on good practices for risk assessment.</t>
  </si>
  <si>
    <t>A0885; A0076;</t>
  </si>
  <si>
    <t>A0885_UK Government2023 Third Party Knowledge for AI systems' Downstr (0,23); A0076_Eisenberg2025 Establish societal impact assessment framewor (0,15)</t>
  </si>
  <si>
    <t>A0887_UK Government2023</t>
  </si>
  <si>
    <t xml:space="preserve">Equitable Access to Frontier AI Systems </t>
  </si>
  <si>
    <t>Transparent and fair processes for researchers to get restricted access to AI systems are important. To ensure systems are appropriately understood, particular attention could be paid to promote academic freedom and diversity of thought, for example, not withholding access based on previous or expected criticism and encouraging different types of academics, civil society groups and independent researchers to study AI systems.</t>
  </si>
  <si>
    <t>A0888_UK Government2023</t>
  </si>
  <si>
    <t xml:space="preserve">Public Sharing of Societal Impact Assessments </t>
  </si>
  <si>
    <t>In the absence of sufficiently substantial downsides to sharing, frontier AI organisations are encouraged to share the products of this work broadly.</t>
  </si>
  <si>
    <t>A0889_UK Government2023</t>
  </si>
  <si>
    <t>Misuse Mapping</t>
  </si>
  <si>
    <t>Understand how their own models – as well as how models released by other groups – are being misused. Knowing that some people have begun using a competitor’s model to conduct phishing attacks, for example, may lead a frontier AI organisation to become more concerned that its own model will be misused in this way.</t>
  </si>
  <si>
    <t>A0890_UK Government2023</t>
  </si>
  <si>
    <t>Reporting of Broad Patterns of Misuse</t>
  </si>
  <si>
    <t>Report information on broad patterns of misuse. This information can help governments, the public, and other frontier AI organisations to better understand risks. Reports may focus on population-level metrics related to API usage, such as the rate of harmful inputs filtered or the number of users banned for misuse. This information may benefit from being presented in a clear and understandable way and made optimally accessible.</t>
  </si>
  <si>
    <t>A0891_UK Government2023</t>
  </si>
  <si>
    <t>Appropriate Retention Schedules for Usage Logs</t>
  </si>
  <si>
    <t>Determine appropriate retention schedules for usage logs, balancing safety and privacy considerations. In severe cases of misuse, access to logs from several months prior may be necessary to understand in maximal detail the causes of the misuse. However, in some cases extended retention schedules may disproportionately affect privacy.</t>
  </si>
  <si>
    <t>A0892_UK Government2023</t>
  </si>
  <si>
    <t xml:space="preserve">Content Filters </t>
  </si>
  <si>
    <t>Apply content filters to both model inputs and model outputs. The input filters can block harmful requests (e.g. requests for advice on building weapons) from being processed by the model. Content modifiers could adjust harmful prompts to elicit non-harmful responses. The output filters can block harmful model outputs (e.g. instructions on building weapons) from being sent back to the user.</t>
  </si>
  <si>
    <t>A0893_UK Government2023</t>
  </si>
  <si>
    <t>Evaluation of Different Content Filters</t>
  </si>
  <si>
    <t>Explore and compare the efficacy of multiple approaches to developing content filters. This may involve comparing available methods, such as those in the following section; selecting the most effective ones; and applying them in combination if doing so substantially increases efficacy. Best practice could be shared with other frontier AI organisations or published broadly.</t>
  </si>
  <si>
    <t>A0894_UK Government2023</t>
  </si>
  <si>
    <t xml:space="preserve">Robust Content Filters </t>
  </si>
  <si>
    <t>Invest in making content filters robust to “jailbreaking” attempts. Work to ensure filters are robust to jailbreaking attempts, for instance by including examples of jailbreaking attempts in the datasets used to develop filters.</t>
  </si>
  <si>
    <t>A0895_UK Government2023</t>
  </si>
  <si>
    <t>Discretion for Development, Storage, and Sharing of Content Filters</t>
  </si>
  <si>
    <t>Exercise appropriate caution when developing, storing, or sharing content filters – and any specialised datasets used to produce them. In some cases, components of filters or datasets used to create them can be used to train higher-risk models. For instance, a classifier that evaluates the aggressiveness of a model’s outputs may be used to train the model to be more aggressive.</t>
  </si>
  <si>
    <t>Aplicar benchmarks de viés</t>
  </si>
  <si>
    <t>A0896_UK Government2023</t>
  </si>
  <si>
    <t xml:space="preserve">Fine-Tuning Models </t>
  </si>
  <si>
    <t>Fine-tune models to reduce the tendency to produce harmful outputs. This may involve using reinforcement learning from human or AI-generated feedback regarding the appropriateness of different model outputs e.g. a constitutional based approach where human input to the fine-tuning process is provided by a list of principles. It may also involve fine-tuning models on curated datasets of appropriate responses to prompts. Where human feedback is used, the mental wellbeing of moderators may need to be considered.</t>
  </si>
  <si>
    <t>Aplicar benchmarks adequados ao caso de uso (como Bias Benchmark Questions, Real Hateful or Harmful Prompts e Winogender Schemas) para quantificar viés sistêmico, estereótipos, difamação e conteúdo de ódio nas saídas, documentando as premissas e limitações dos benchmarks, inclusive possível contaminação entre dados de treino e de teste.</t>
  </si>
  <si>
    <t>1.1, 4.1, 7.1, 7.3</t>
  </si>
  <si>
    <t>Saídas que reproduzem estereótipos, difamam ou discriminam grupos sociais, causando dano às pessoas afetadas e à reputação da organização.</t>
  </si>
  <si>
    <t>A0897_UK Government2023</t>
  </si>
  <si>
    <t xml:space="preserve">Model Prompting </t>
  </si>
  <si>
    <t>Relatório com os resultados dos benchmarks aplicados, desagregados por grupo, e a documentação das premissas, limitações e possível contaminação de cada benchmark em relação ao contexto de uso.</t>
  </si>
  <si>
    <t>Prompt models to avoid harmful behaviour. This may involve, for instance, using a “meta prompt” to instruct a model that it should ignore requests to cause harm. Alternatively, prompt distillation or other methods can be used to fine-tune their models to behave as though they have received particular prompts.</t>
  </si>
  <si>
    <t>A0898_UK Government2023</t>
  </si>
  <si>
    <t xml:space="preserve">Rejection Sampling </t>
  </si>
  <si>
    <t>Consider also applying “rejection sampling” methods to model outputs. These methods involve generating several outputs, scoring them on their harmfulness, and then only presenting the least harmful outputs to the user.</t>
  </si>
  <si>
    <t>A0899_UK Government2023</t>
  </si>
  <si>
    <t>User-based API Access Restrictions</t>
  </si>
  <si>
    <t>When deploying models through APIs, consider reducing access to users who display suspicious usage patterns. For instance, if a content filter blocks a user’s requests several times in short succession, this is evidence that they are attempting to misuse the model or find ways to circumvent its filters. Appropriate measures may include warnings, further investigation, rate limitations, more restrictive filters, and bans. Care should be taken to avoid restricting genuine use, for example to legitimate AI safety researchers attempting to examine model behaviour, or to users struggling to access legitimate sources of help on difficult topics like self-harm.</t>
  </si>
  <si>
    <t>NIST AI 600-1 (2024), ação MS-2.11-001, ligada à subcategoria MEASURE 2.11 do NIST AI RMF 1.0 ("Fairness and bias – as identified in the MAP function – are evaluated and results are documented"), recomenda aplicar benchmarks adequados ao caso de uso para quantificar viés, estereótipos e conteúdo de ódio, documentando suas limitações. De forma independente, a ISO/IEC 42001:2023 exige definir medidas de verificação e validação com critérios de avaliação (A.6.2.4), tratar vieses nos dados (B.7.4) e considerar a equidade como objetivo (C.2.5). Custo estimado pelo grupo, pela rubrica.</t>
  </si>
  <si>
    <t>A0900_UK Government2023</t>
  </si>
  <si>
    <t>Communication of and Appeal for API access Reduction Policies</t>
  </si>
  <si>
    <t>Communicate API access reduction policies – and allow users to appeal access reductions. Users should be able to understand the reasons why their access may be reduced and be able to appeal access reductions if they believe policies have not been applied correctly. Alternatively, users may be able to perform actions to mitigate misuse risks, such as providing evidence to justify behaviour.</t>
  </si>
  <si>
    <t>A0901_UK Government2023</t>
  </si>
  <si>
    <t xml:space="preserve">Know Your Customer (KYC) Checks </t>
  </si>
  <si>
    <t>Implement tiered Know Your Customer (KYC) checks for API users. KYC checks can help prevent users from simply creating new accounts when their access is reduced. More intense checks, such as identify verification, could be implemented where the risk is higher, such as for models with more dangerous capabilities, access to models with fewer safeguards, or high- volume usage of the model. It is important to weigh up KYC checks against potential privacy and access tradeoffs of requiring registrations.</t>
  </si>
  <si>
    <t>A0902_UK Government2023</t>
  </si>
  <si>
    <t xml:space="preserve">Trusted Categories API access </t>
  </si>
  <si>
    <t>Consider restricting certain API access tiers only to users in “trusted” categories. For example, it may be appropriate to offer high usage rates, fine-tuning access, permissive content filters, as well as access to models with high misuse potential only to verified users in established enterprises, non-profits, and universities.</t>
  </si>
  <si>
    <t>A0903_UK Government2023</t>
  </si>
  <si>
    <t>Protocols for Sharing API users Information with government authorities</t>
  </si>
  <si>
    <t>Establish protocols for deciding when and how to share information about API users with relevant government authorities. These protocols may include covering circumstances under which information about a user is proactively shared with government bodies (e.g. cases where there is reason to think a user may be attempting to cause grave harm), and how to respond to government requests for data.</t>
  </si>
  <si>
    <t>A0904_UK Government2023</t>
  </si>
  <si>
    <t>Worst-case scenario Response</t>
  </si>
  <si>
    <t>Implement processes and technical requirements to enable rapid rollback or withdrawal of models in case of egregious, widespread or consistent harms. Rolling back to a previous version of a model that does not suffer from the same misuse threats, or withdrawing access to a model altogether, may be proportionate actions in such situations of extreme threat or consistent misuse. Running periodic dry runs could increase preparedness for such situations.</t>
  </si>
  <si>
    <t>A0906</t>
  </si>
  <si>
    <t>A0906_UK Government2023 Governance Responses to Worst-case of Misuse  (0,20)</t>
  </si>
  <si>
    <t>A0905_UK Government2023</t>
  </si>
  <si>
    <t xml:space="preserve">User Informed Rapid Rollback of models </t>
  </si>
  <si>
    <t>Inform end users that rapid rollback or withdrawal of models may be necessary, and that the disruption to its end users will be minimised as far as safely possible. This is especially important where models are deployed in safety critical domains.</t>
  </si>
  <si>
    <t>A0906_UK Government2023</t>
  </si>
  <si>
    <t>Governance Responses to Worst-case of Misuse Scenarios</t>
  </si>
  <si>
    <t>Establish governance processes to ensure internal clarity in response to worst-case or consistent misuse scenarios. Such processes could draw on similar accountability and governance mechanisms used within a Responsible Capability Scaling policy. It may be valuable to clarify the approvals needed to roll back a model to a previous version or withdraw a model, the types of misuse that would warrant such actions, and the timeframe under which such actions would occur.</t>
  </si>
  <si>
    <t>A0904</t>
  </si>
  <si>
    <t>A0904_UK Government2023 Worst-case scenario Response (0,20)</t>
  </si>
  <si>
    <t>A0907_UK Government2023</t>
  </si>
  <si>
    <t xml:space="preserve">Monitoring and Safeguard Efficacy </t>
  </si>
  <si>
    <t>Regularly assess monitoring and safeguard efficacy and continually invest in improvements. Regular assessment of monitoring efficacy can build an understanding of the success rate and speed of issue detection, on which deployment decisions may be based. These assessments may draw, for instance, on the results of internal and external red-teaming efforts, random audits of usage logs, what may be ‘best practice’, as well as available information about real-world misuse. Risks are expected to increase as AI capabilities increase. Hence, active increases in investment in safety, security, and monitoring may be valuable.</t>
  </si>
  <si>
    <t>Documentar os impactos ambientais previstos</t>
  </si>
  <si>
    <t>Documentar os impactos ambientais previstos do desenvolvimento, da manutenção e da implantação do modelo nas decisões de projeto do produto.</t>
  </si>
  <si>
    <t>A0908_UK Government2023</t>
  </si>
  <si>
    <t>6.5, 6.6</t>
  </si>
  <si>
    <t>Exploration of New Safeguards</t>
  </si>
  <si>
    <t>Explore new safeguards and countermeasures in response to patterns of misuse, recognising that appropriate measures may vary based on model type, usage patterns, and our technical understanding of model capabilities.</t>
  </si>
  <si>
    <t>Consumo de energia e água e emissões de gases de efeito estufa não considerados nas decisões de projeto, gerando impacto ambiental evitável.</t>
  </si>
  <si>
    <t>Estimativa documentada do consumo de energia ou das emissões associadas ao sistema, registrada junto às decisões de projeto (por exemplo, na escolha do modelo, do tamanho do modelo ou da infraestrutura).</t>
  </si>
  <si>
    <t>A0909_UK Government2023</t>
  </si>
  <si>
    <t>Diverse Monitoring Techniques</t>
  </si>
  <si>
    <t>Employ diverse monitoring techniques to balance comprehensiveness, scalability, and privacy. A strong monitoring setup will generally combine automated and human review, in recognition that automated reviews may miss intricate issues, while human reviews are not always scalable and can pose privacy issues.</t>
  </si>
  <si>
    <t>A0910_UK Government2023</t>
  </si>
  <si>
    <t xml:space="preserve">Assessment of Safeguard Costs for Users </t>
  </si>
  <si>
    <t>NIST AI 600-1 (2024), na subcategoria MEASURE 2.12 do NIST AI RMF 1.0 ("Environmental impact and sustainability of AI model training and management activities – as identified in the MAP function – are assessed and documented"), recomenda documentar os impactos ambientais previstos nas decisões de projeto. De forma independente, a ISO/IEC 42001:2023 inclui a sustentabilidade ambiental entre os impactos sociais a avaliar (A.5.5 e B.5.5), pede documentar o impacto ambiental do hardware utilizado (B.4.5) e lista o impacto ambiental entre os objetivos organizacionais (C.2.4). Custo estimado pelo grupo, pela rubrica.</t>
  </si>
  <si>
    <t>Regularly assess the costs of safeguards to users, including bias and loss of privacy, as well as restrictions on users’ freedom to discuss sensitive topics with AI agents in appropriate contexts. This may involve, for instance, estimating the false positive rates of filters by sampling blocked inputs and outputs; comparing the capabilities, efficiency, and user ratings of models that lack certain safeguards against models that have the safeguards in place; and conducting user interviews to understand how concerned informed users are about losses in privacy and the emergence of biases in algorithmically filtered content.</t>
  </si>
  <si>
    <t>A0911_UK Government2023</t>
  </si>
  <si>
    <t xml:space="preserve">Reduction of Costs for Users </t>
  </si>
  <si>
    <t>Explore strategies for reducing the costs of safeguards to users, such as “structured transparency” methods to reduce the cost of usage monitoring to user privacy, or tiered access to models with different safeguards for differently qualified users.</t>
  </si>
  <si>
    <t>A0912_UK Government2023</t>
  </si>
  <si>
    <t>Accounting of Applicable Regulatory Frameworks</t>
  </si>
  <si>
    <t>Before collecting training data, take account of applicable regulatory frameworks. This may involve, for example, establishing a legal basis to process training data and understanding any copyright considerations that might apply. This could help to mitigate risks further down the line, such as the system revealing personally identifiable information.</t>
  </si>
  <si>
    <t>A0913_UK Government2023</t>
  </si>
  <si>
    <t>Principle of Data Minimisation</t>
  </si>
  <si>
    <t>Data minimisation can reduce the risk of harmful content making it into training data. Frontier AI organisations could explore the practice of “data pruning”, which has been shown to improve data quality and system performance while minimising the quantity of pre-training data required.</t>
  </si>
  <si>
    <t>A0914_UK Government2023</t>
  </si>
  <si>
    <t>Datatset Auditing</t>
  </si>
  <si>
    <t>Audit datasets used for pre-training but also those used for fine-tuning, classifiers, and other tools. Inappropriate datasets could result in systems that fail to disobey harmful instructions.</t>
  </si>
  <si>
    <t>A0915</t>
  </si>
  <si>
    <t>A0915_UK Government2023 Technical Tools for Auditing (0,15)</t>
  </si>
  <si>
    <t>A0915_UK Government2023</t>
  </si>
  <si>
    <t>Technical Tools for Auditing</t>
  </si>
  <si>
    <t>Use technical tools – such as classifiers and filters – to audit large datasets to support scalability and privacy. These could be used in combination with human oversight, which can verify and augment these assessments.</t>
  </si>
  <si>
    <t>A0914</t>
  </si>
  <si>
    <t>A0914_UK Government2023 Datatset Auditing (0,15)</t>
  </si>
  <si>
    <t>A0916_UK Government2023</t>
  </si>
  <si>
    <t xml:space="preserve">Assessment of Training Data </t>
  </si>
  <si>
    <t>Assess the overall composition of training data. This could include the data sources, the provenance of the data, indicators of data quality and integrity, and measures of bias and representativeness. The amount and variety of data are simple, reliable predictors of risk, and provide an additional line of defence where more targeted assessments are limited.</t>
  </si>
  <si>
    <t>A0510</t>
  </si>
  <si>
    <t>A0510_NIST2024 Training Data Harm Assessment (0,16)</t>
  </si>
  <si>
    <t>A0917_UK Government2023</t>
  </si>
  <si>
    <t>Audits for Dangerous System Capabilities</t>
  </si>
  <si>
    <t xml:space="preserve"> Information that might enhance dangerous system capabilities, such as information
about weapons manufacturing or terrorism.</t>
  </si>
  <si>
    <t>Processos rigorosos de avaliação de riscos</t>
  </si>
  <si>
    <t>A0918_UK Government2023</t>
  </si>
  <si>
    <t>Audits for Private or Sensitive Information</t>
  </si>
  <si>
    <t>AI systems may be subject to data extraction attacks, where determined users can prompt systems to reveal pieces of training data, or may even reveal this information accidentally. This makes it important to know whether datasets include private or sensitive information e.g. names, addresses, or security vulnerabilities.</t>
  </si>
  <si>
    <t>Desenvolver processos rigorosos de avaliação de risco para modelos, que: 1) Busquem abranger todos os riscos plausíveis e com consequências relevantes decorrentes de sistemas de IA, incluindo riscos de baixa probabilidade, mas que possam causar danos graves; 2) Sejam fundamentados em fatores que incluem, entre outros: avaliações de modelos e testes de estresse (*red teaming*), evidências sobre os impactos e capacidades de modelos anteriores, conhecimento das pesquisas e desenvolvimentos mais recentes na área, experiência no domínio (tanto interna quanto externa) e resultados de auditorias dos dados de entrada. Levar em consideração a dificuldade de produzir avaliações de risco confiáveis, promovendo uma cultura que leve a sério a incerteza significativa subjacente às previsões de riscos associados a modelos de fronteira. Considerar os potenciais benefícios do modelo. Incorporar aprendizados obtidos por meio de trocas de informações com o setor, a academia e o governo sobre as capacidades de modelos comparáveis.</t>
  </si>
  <si>
    <t>2.2, 4.1, 6.5, 7.3</t>
  </si>
  <si>
    <t>2.2 ,   4.1 , 6.5   ,7.3</t>
  </si>
  <si>
    <t>SIm</t>
  </si>
  <si>
    <t>A0919_UK Government2023</t>
  </si>
  <si>
    <t xml:space="preserve">Audits for Biases in the Data </t>
  </si>
  <si>
    <t xml:space="preserve"> Training data that is imbalanced or inaccurate can result in an AI system being less accurate for people with certain personal characteristics or providing a skewed picture of particular groups. Ensuring a better balance in the training data could help to address this.</t>
  </si>
  <si>
    <t xml:space="preserve">2.2, 4.1, 6.5, 7.3
</t>
  </si>
  <si>
    <t>Riscos plausíveis, inclusive de baixa probabilidade e consequência grave, não abrangidos pelo processo de avaliação por falta de fundamentação em red teaming, evidências de modelos anteriores e expertise externa, gerando danos evitáveis após a implementação.</t>
  </si>
  <si>
    <t>Relatório de avaliação de risco documentado, registrando os métodos utilizados (avaliações de modelos, red teaming, evidências de modelos anteriores, expertise interna e externa, auditoria dos dados de entrada), os riscos de baixa probabilidade e alta consequência considerados e os potenciais benefícios do modelo.</t>
  </si>
  <si>
    <t>A0920_UK Government2023</t>
  </si>
  <si>
    <t xml:space="preserve">Audits for Harmful Content </t>
  </si>
  <si>
    <t>Harmful content, such as child sexual abuse materials, hate speech, or online abuse. Having a better understanding of harmful content in datasets can inform safety measures (e.g. by highlighting domains where additional safeguards like content filters should be applied).</t>
  </si>
  <si>
    <t>A0921_UK Government2023</t>
  </si>
  <si>
    <t>Audits for Misinformation</t>
  </si>
  <si>
    <t>Training an AI system on inaccurate information increases the likelihood the outputs of the system will be inaccurate and could lead to harm.</t>
  </si>
  <si>
    <t>DSIT UK (2023, p. 8-12), perfil construído sobre o NIST AI RMF 1.0 (subcategorias MAP 1.1, MAP 1.6 e MEASURE 2.5), orienta o desenvolvimento de processos rigorosos de avaliação de risco fundamentados em testes de estresse (red teaming), evidências empíricas de modelos anteriores e consulta a especialistas internos e externos. De forma independente e complementar, a norma ISO/IEC 42001:2023 exige a definição e execução do processo de avaliação de riscos de IA (cláusulas 6.1.2 e 8.2) e a avaliação dos impactos do sistema sobre indivíduos e sociedade (cláusula 6.1.4 e controles A.5). Custo estimado pelo grupo, pela rubrica.</t>
  </si>
  <si>
    <t>A0922_UK Government2023</t>
  </si>
  <si>
    <t xml:space="preserve">External Expertise for Input Data Audits </t>
  </si>
  <si>
    <t>Draw on external expertise in conducting input data audits. For example, biosecurity experts could be consulted to identify information relevant to biological weapons manufacturing, which may not be readily obvious to non-experts.</t>
  </si>
  <si>
    <t>A0926; A0933; A0927;</t>
  </si>
  <si>
    <t>A0926_UK Government2023 Documentation of Results of Input Data Audits (0,23); A0933_UK Government2023 Disclosure of Input Data Audits with External (0,23); A0927_UK Government2023 Input Data Audits for Pre-Development/deploym (0,19)</t>
  </si>
  <si>
    <t>A0923_UK Government2023</t>
  </si>
  <si>
    <t xml:space="preserve">Data Audits for AI System Behavior </t>
  </si>
  <si>
    <t>Use data audits to improve understanding of how training data affects AI system behaviour. For example, if model evaluations reveal a potentially dangerous capability, data audits can help ascertain the extent to which the training data contributed to it.</t>
  </si>
  <si>
    <t>A0924; A0927; A0926;</t>
  </si>
  <si>
    <t>A0924_UK Government2023 Data Audits for AI System Behavior (1,00); A0927_UK Government2023 Input Data Audits for Pre-Development/deploym (0,16); A0926_UK Government2023 Documentation of Results of Input Data Audits (0,16)</t>
  </si>
  <si>
    <t>A0924_UK Government2023</t>
  </si>
  <si>
    <t>A0923; A0927; A0926;</t>
  </si>
  <si>
    <t>A0923_UK Government2023 Data Audits for AI System Behavior (1,00); A0927_UK Government2023 Input Data Audits for Pre-Development/deploym (0,16); A0926_UK Government2023 Documentation of Results of Input Data Audits (0,16)</t>
  </si>
  <si>
    <t>A0925_UK Government2023</t>
  </si>
  <si>
    <t>Audits on Datasets for Customer Fine-Tuning</t>
  </si>
  <si>
    <t>Conduct audits on datasets used by their customers to fine-tune AI systems. Customers are often allowed to fine-tune systems on their own datasets. By carrying out audits to ensure that customers are not encouraging undesirable behaviours, frontier AI organisations can use their expertise and insight into the AI system’s original training data to identify potential harms upstream. It is important that frontier AI organisations are mindful of privacy concerns and make use of privacy preserving techniques, where appropriate.</t>
  </si>
  <si>
    <t>A0926_UK Government2023</t>
  </si>
  <si>
    <t xml:space="preserve">Documentation of Results of Input Data Audits </t>
  </si>
  <si>
    <t>Document the results of input data audits, including metadata. Frontier AI organisations could look to emerging standards when documenting the results of input data audits, such as datasheets for datasets</t>
  </si>
  <si>
    <t>A0922; A0927; A0933;</t>
  </si>
  <si>
    <t>A0922_UK Government2023 External Expertise for Input Data Audits (0,23); A0927_UK Government2023 Input Data Audits for Pre-Development/deploym (0,23); A0933_UK Government2023 Disclosure of Input Data Audits with External (0,21)</t>
  </si>
  <si>
    <t>A0927_UK Government2023</t>
  </si>
  <si>
    <t xml:space="preserve">Input Data Audits for Pre-Development/deployment Risk Assessments </t>
  </si>
  <si>
    <t>Use input data audits to inform pre-development and pre-deployment risk assessments. Data audits may be particularly valuable in pre-development risk assessments, where direct evidence of system behaviour will not be available. Input data audits can also be used to improve context-based understanding of how data impacts system capabilities, which will strengthen future risk assessments and mitigation techniques.</t>
  </si>
  <si>
    <t>A0765; A1030; A0926;</t>
  </si>
  <si>
    <t>A0765_UK Government2023 Pre-Deployment Risk Assessments (0,34); A1030_Uuk2024 Pre-deployment risk assessments (0,23); A0926_UK Government2023 Documentation of Results of Input Data Audits (0,23)</t>
  </si>
  <si>
    <t>A0928_UK Government2023</t>
  </si>
  <si>
    <t xml:space="preserve">Removal of Harmful Input Data </t>
  </si>
  <si>
    <t>Remove potentially harmful or undesirable input data, where appropriate. Given the increasingly strong generalisation abilities of AI systems, data curation may prove insufficient to prevent dangerous system behaviour but could provide an additional layer of defence alongside other measures such as fine-tuning and content filters.</t>
  </si>
  <si>
    <t>A0929_UK Government2023</t>
  </si>
  <si>
    <t>Harmful Data for Reduction of Dangerous Capabilities</t>
  </si>
  <si>
    <t>For some kinds of risks, explore options to use harmful data to reduce AI systems’ dangerous capabilities or to help develop mitigation tools. For example, by fine-tuning a system using labelled harmful content to refuse requests related to the harmful information.</t>
  </si>
  <si>
    <t>A0930_UK Government2023</t>
  </si>
  <si>
    <t>Sourcing or Generation of Additional Data for Training Dataset</t>
  </si>
  <si>
    <t>Consider sourcing or generating additional data and adding it to the training dataset, where it is determined that data is missing or inadequate. Improving the representativeness of training data can improve performance and reduce potential negative societal impacts and discriminatory effects. However, additional data should only be sought through appropriate means that respect and empower those individuals who are missing from the data.</t>
  </si>
  <si>
    <t>Monitoramento durante o desenvolvimento e após a implementação</t>
  </si>
  <si>
    <t>Monitore os sistemas tanto durante o desenvolvimento quanto após a implementação. Novas avaliações de risco podem ser realizadas em casos de ajustes finos ou outras alterações substanciais que possam aumentar o perigo representado por um modelo — por exemplo, se o modelo passar a ter acesso a ferramentas ou plug-ins. Isso pode ocorrer paralelamente a esforços para detectar desdobramentos inesperados e novas informações que possam ter alterado os resultados da avaliação de risco existente, o que, por sua vez, poderia motivar a realização de uma nova avaliação de risco.</t>
  </si>
  <si>
    <t>4.1, 6.5</t>
  </si>
  <si>
    <t>A0931_UK Government2023</t>
  </si>
  <si>
    <t xml:space="preserve">Limitations of Input Data Audit </t>
  </si>
  <si>
    <t>Acknowledge the limitations of input data audit. Techniques for understanding the impacts of data and filtering out specific data are limited (e.g. excluding information from a dataset does not always prevent the AI system from reasoning about or discovering that information). Other risk mitigation measures will be required and further research on improving data input audit techniques is important.</t>
  </si>
  <si>
    <t>A0932_UK Government2023</t>
  </si>
  <si>
    <t xml:space="preserve">Independent Data Input Audits </t>
  </si>
  <si>
    <t>Facilitate independent data input audits from external parties. Since training data constitutes sensitive intellectual property, it is important to implement appropriate technical and organisational safeguards to ensure privacy and security when sharing the training data. In order to protect sensitive information, frontier AI organisations could explore the possibility of providing synthetic datasets to auditors with sensitive information removed, or providing auditors with privacy-preserving access to the training data.</t>
  </si>
  <si>
    <t>A0933</t>
  </si>
  <si>
    <t>Ausência de monitoramento contínuo e de reavaliação após ajustes finos, acesso a ferramentas ou plug-ins ou novas informações, mantendo avaliações desatualizadas frente ao perigo real do modelo.</t>
  </si>
  <si>
    <t>Registro de monitoramento durante o desenvolvimento e após a implementação, com reavaliações de risco documentadas após ajustes finos, concessão de acesso a ferramentas ou plug-ins e identificação de novas informações relevantes (por exemplo, no histórico de versões do modelo).</t>
  </si>
  <si>
    <t>A0933_UK Government2023 Disclosure of Input Data Audits with External (0,16)</t>
  </si>
  <si>
    <t>A0933_UK Government2023</t>
  </si>
  <si>
    <t>Disclosure of Input Data Audits with External Stakeholders</t>
  </si>
  <si>
    <t>Share information about input data audits with users and external stakeholders. Some information could be included in transparency reports, such as high-level information about training data (including data sources), data auditing procedures, and measures taken to reduce risk (see Model Reporting and Information Sharing). More sensitive information may be shared directly with regulators and external auditors.</t>
  </si>
  <si>
    <t>A0922; A0926; A0927;</t>
  </si>
  <si>
    <t>A0922_UK Government2023 External Expertise for Input Data Audits (0,23); A0926_UK Government2023 Documentation of Results of Input Data Audits (0,21); A0927_UK Government2023 Input Data Audits for Pre-Development/deploym (0,17)</t>
  </si>
  <si>
    <t>A0260_EU AI Office2025</t>
  </si>
  <si>
    <t xml:space="preserve">Safety and Security Framework </t>
  </si>
  <si>
    <t>Signatories commit to adopting and implementing a Safety and Security Framework that will: (1) apply to their GPAISRs (general-purpose AI models with systemic risk); and (2) detail the systemic risk assessment, systemic risk mitigation, and governance risk mitigation measures and procedures that they intend to adopt to keep systemic risks stemming from their GPAISRs within acceptable levels.</t>
  </si>
  <si>
    <t>DSIT UK (2023, p. 12-14), articulado com o NIST AI RMF 1.0 (subcategorias MEASURE 2.4, MANAGE 4.1 e GOVERN 1.5), orienta o monitoramento contínuo tanto na fase de desenvolvimento quanto pós-implantação, com reavaliações formais de risco engatilhadas por modificações substanciais (como concessão de acesso a ferramentas ou plug-ins). De forma alinhada, a ISO/IEC 42001:2023 estabelece requisitos e controles específicos para o monitoramento e operação contínua do sistema de IA (controle A.6.2.6 e seção B.6.2.6) e análise de desempenho em produção (cláusula 9.1). Custo estimado pelo grupo, pela rubrica.</t>
  </si>
  <si>
    <t>A0261_EU AI Office2025</t>
  </si>
  <si>
    <t>Security mitigations</t>
  </si>
  <si>
    <t>Signatories commit to implementing state-of-the-art security mitigations designed to thwart such unauthorised access by well-resourced and motivated non-state-level adversaries, including insider threats from humans or AI systems, so as to meet at least the RAND SL3 security goal or equivalent, and achieve higher security goals (e.g., RAND SL4 or SL5)</t>
  </si>
  <si>
    <t>A0262_EU AI Office2025</t>
  </si>
  <si>
    <t xml:space="preserve"> Independent external assessors</t>
  </si>
  <si>
    <t xml:space="preserve">Before placing a GPAISR on the market, signatories commit to obtaining independent external systemic risk assessments, including model evaluations, unless the model can be deemed sufficiently safe. After placing the GPAISR on the market, signatories commit to facilitating exploratory independent external assessments, including model evaluations. </t>
  </si>
  <si>
    <t>A0263_EU AI Office2025</t>
  </si>
  <si>
    <t>Serious Incident Reporting</t>
  </si>
  <si>
    <t>Signatories commit to setting up processes for keeping track of, documenting, and reporting to the AI Office and national competent authorities without undue delay relevant information about serious incidents throughout the entire model lifecycle and possible corrective measures to address them.</t>
  </si>
  <si>
    <t>A0264_EU AI Office2025</t>
  </si>
  <si>
    <t>Documentation</t>
  </si>
  <si>
    <t>Signatories commit to documenting information relevant to the assessment and mitigation of sytemic risks from their GPAISRs, including keeping up-to-date model documentation and providing relevant information to providers of AI systems who intend to integrate the general-purpose AI model into their AI systems</t>
  </si>
  <si>
    <t>A0265_EU AI Office2025</t>
  </si>
  <si>
    <t xml:space="preserve">Systemic Risk Analysis </t>
  </si>
  <si>
    <t>Signatories commit to carrying out a rigorous analysis of the systemic risks identified in order to understand the severity and probability of the systemic risks. Signatories commit to making use of a range of information and methods in their systemic risk analysis including model-independent information and state-of-the-art model evaluations, taking into account model affordances, safe originator models, and the context in which the model may be made available on the market and/or used and its effects</t>
  </si>
  <si>
    <t>A0266_EU AI Office2025</t>
  </si>
  <si>
    <t>Systemic risk assessment and mitigations</t>
  </si>
  <si>
    <t xml:space="preserve">Signatories commit to conducting systemic risk assessment at appropriate points along the entire model lifecycle, in particular before making the model available on the market. Specifically, signatories commit to starting to assess and mitigate systemic risks during the development of a GPAISR. </t>
  </si>
  <si>
    <t>A0267_EU AI Office2025</t>
  </si>
  <si>
    <t>Non-retaliation Protections</t>
  </si>
  <si>
    <t>Signatories commit to not retaliating against any worker providing information about systemic risks stemming from the signatories' GPAISRs to the AI Office or national competent authorities.</t>
  </si>
  <si>
    <t>A0268_EU AI Office2025</t>
  </si>
  <si>
    <t>Definição de limiares de risco</t>
  </si>
  <si>
    <t>Systemic Risk Identification</t>
  </si>
  <si>
    <t>Signatories commit to selecting and further characterizing systemic risks stemming from their GPAISRs that are significant enough to warrant further assessment and mitigation.</t>
  </si>
  <si>
    <t>Rubrica de custo e incerteza</t>
  </si>
  <si>
    <t>Defina limiares de risco com base nos resultados que configurariam uma violação desses limites, associando-os a capacidades perigosas que um determinado modelo — ou uma combinação de modelos — poderia apresentar. Por exemplo, uma organização que atua na fronteira da tecnologia de IA pode estabelecer, como objetivo, evitar a implementação de um sistema de IA que aumente significativamente o risco de ataques cibernéticos ou fraudes.</t>
  </si>
  <si>
    <t>3.2, 4.1</t>
  </si>
  <si>
    <t>4.1, 6.5, 7.4</t>
  </si>
  <si>
    <t>A0269_EU AI Office2025</t>
  </si>
  <si>
    <t>Public Transparency</t>
  </si>
  <si>
    <t>Signatories commit to publishing information relevant to the public understanding of systemic risks stemming from their GPAISRs, where necessary to effectively enable assessment and mitigation of systemic risks, including new or updated versions of their Frameworks and Model Reports.</t>
  </si>
  <si>
    <t>Limiares de risco não definidos ou não associados a capacidades perigosas do modelo, ou de combinações de modelos, impedindo a identificação do momento em que o risco se torna inaceitável.</t>
  </si>
  <si>
    <t>Documento de limiares de risco vinculando cada limiar às capacidades perigosas do modelo, isolado ou combinado com outros modelos, e às respostas previamente definidas em caso de violação (por exemplo, não implementar um sistema que aumente significativamente o risco de ataques cibernéticos ou fraudes).</t>
  </si>
  <si>
    <t>Escalas qualitativas, com cada nível definido por critérios explícitos, para que dois anotadores cheguem ao mesmo nível pela mesma mitigação. Uma avaliação qualitativa usa categorias ou níveis não numéricos (NIST SP 800-30 Rev. 1); definir o que cada nível significa é o que a torna repetível.</t>
  </si>
  <si>
    <t>A0270_EU AI Office2025</t>
  </si>
  <si>
    <t>Safety Mitigations</t>
  </si>
  <si>
    <t>Signatories commit to: (1) implementing technical safety mitigations along the entire model lifecycle that are proportionate to the systemic risks arising from the development, the making available on the market, and/or the use of GPAISRs, in order to reduce the systemic risks of such models to acceptable levels, and further reduce systemic risk as appropriate; and (2) ensuring that safety mitigations are proportionate and state-of-the-art.</t>
  </si>
  <si>
    <t>1. Custo sugerido</t>
  </si>
  <si>
    <t>A0271_EU AI Office2025</t>
  </si>
  <si>
    <t>Copyright policy</t>
  </si>
  <si>
    <t xml:space="preserve">Signatories commit to drawing up, keeping up-to-date, and implementing a copyright policy to comply with law on copyright and related rights, and in particular to identify and comply with, including through state-of-the-art technologies. Signatories are encouraged to make publicly available and keep up-to-date a summary of their copyright policy. </t>
  </si>
  <si>
    <t>DSIT UK (2023, p. 14-16), em alinhamento com o NIST AI RMF 1.0 (subcategorias GOVERN 1.3, MAP 1.5 e MAP 3.2), orienta a definição formal de limiares de risco (risk thresholds) associados a capacidades perigosas especificas que impediriam a liberação do sistema. De forma equivalente, a norma ISO/IEC 42001:2023 exige que a organização defina e estabeleça critérios de risco de IA claros (cláusulas 6.1.1 e 6.1.2 e) para distinguir riscos aceitáveis de inaceitáveis. Custo estimado pelo grupo, pela rubrica.</t>
  </si>
  <si>
    <t>Esforço típico para uma organização que implanta ou opera um sistema de IA colocar a mitigação em prática pela primeira vez. Avalie as quatro dimensões; se elas apontarem níveis diferentes, use o mais alto.</t>
  </si>
  <si>
    <t>A0272_EU AI Office2025</t>
  </si>
  <si>
    <t>Systemic Risk Acceptance Documentation</t>
  </si>
  <si>
    <t>Dimensão</t>
  </si>
  <si>
    <t xml:space="preserve">Signatories commit to determining the acceptability of the systemic risks stemming from their GPAISRs by comparing the results of their systemic risk analysis to their pre-defined systemic risk acceptance criteria, in order to ensure proportionality between the systemic risks of the GPAISR and their mitigations. </t>
  </si>
  <si>
    <t>Tempo para implantar</t>
  </si>
  <si>
    <t>Até cerca de duas semanas.</t>
  </si>
  <si>
    <t>De algumas semanas a cerca de três meses.</t>
  </si>
  <si>
    <t>Mais de três meses.</t>
  </si>
  <si>
    <t>A0273_EU AI Office2025</t>
  </si>
  <si>
    <t>Safety and Security Model Reports</t>
  </si>
  <si>
    <t xml:space="preserve">Signatories should commit to reporting to the AI Office about their implementation of the Code, and especially the application of their Framework to the development, making available on the market, and/or use of their GPAISRs, by creating a Safety and Security Model Report, which will document: (1) the results of systemic risk assessment and mitigation for the model in question; and (2) justifications of decisions to make the model in question available on the market.
</t>
  </si>
  <si>
    <t>Pessoas e competências</t>
  </si>
  <si>
    <t>A própria equipe do sistema, sem competência nova.</t>
  </si>
  <si>
    <t>Envolve outra área ou competência específica (jurídico, segurança, dados).</t>
  </si>
  <si>
    <t>Exige equipe dedicada, contratação ou especialista externo.</t>
  </si>
  <si>
    <t>Ferramentas e serviços</t>
  </si>
  <si>
    <t>Nenhuma ferramenta ou serviço novo pago.</t>
  </si>
  <si>
    <t>Ferramenta ou serviço de custo moderado, ou ampliação de um existente.</t>
  </si>
  <si>
    <t>Infraestrutura, ferramenta ou serviço dedicado, ou auditoria externa.</t>
  </si>
  <si>
    <t>A0274_EU AI Office2025</t>
  </si>
  <si>
    <t>Adequacy Assessments</t>
  </si>
  <si>
    <t>Signatories commit to assessing the adequacy of their safety and security framework and to updating it based on new findings</t>
  </si>
  <si>
    <t>Impacto na operação</t>
  </si>
  <si>
    <t>Não altera processos de outras áreas.</t>
  </si>
  <si>
    <t>Altera um processo existente.</t>
  </si>
  <si>
    <t>Muda a arquitetura do sistema ou processos de várias áreas.</t>
  </si>
  <si>
    <t>Exemplos</t>
  </si>
  <si>
    <t>Checklist de revisão antes da implantação; política de uso documentada.</t>
  </si>
  <si>
    <t>Monitoramento contínuo com ferramenta já disponível; treinamento das equipes.</t>
  </si>
  <si>
    <t>Auditoria independente; red teaming externo; retreinamento do modelo.</t>
  </si>
  <si>
    <t>2. Incerteza da estimativa</t>
  </si>
  <si>
    <t>A0275_EU AI Office2025</t>
  </si>
  <si>
    <t>Systemic Risk Responsibility Allocation</t>
  </si>
  <si>
    <t xml:space="preserve">Signatories commit to (1) clearly defining and allocating responsibilities for managing systemic risk from their GPAISRs across all levels of the organisation; (2) allocating appropriate resources to actors who have been assigned responsibilities for managing systemic risk; and (3) promoting a healthy risk culture.
</t>
  </si>
  <si>
    <t>A incerteza se refere às estimativas do grupo para a mitigação (risco-alvo, evidência esperada e custo), e não à mitigação em si. Segue a abordagem do IPCC (Mastrandrea et al., 2010): avalia-se o tipo, a quantidade e a qualidade da evidência e o grau de concordância entre as fontes, e a combinação dos dois define o nível. A coluna 'Fonte da estimativa' registra essa avaliação, como o relato rastreável que o IPCC recomenda.</t>
  </si>
  <si>
    <t>A0027_Casper2025</t>
  </si>
  <si>
    <t>Document compute usage</t>
  </si>
  <si>
    <t>Given that computing power is key to frontier AI development (Sastry et al., 2024), frontier developers can be required to document their compute resources including details such as the usage, providers, and the location of compute clusters.</t>
  </si>
  <si>
    <t>Descrição</t>
  </si>
  <si>
    <t>Fonte única, opinião ou proposta sem aplicação relatada.</t>
  </si>
  <si>
    <t>Mais de uma fonte, ou norma ou guia reconhecido, mas sem dado empírico.</t>
  </si>
  <si>
    <t>Várias fontes independentes, com estudo empírico, avaliação publicada ou norma aplicada.</t>
  </si>
  <si>
    <t>A0028_Casper2025</t>
  </si>
  <si>
    <t>Documentation availability</t>
  </si>
  <si>
    <t>All of the above documentation can be made available to the public (redacted) and AI governing authorities (unredacted).</t>
  </si>
  <si>
    <t>A0029_Casper2025</t>
  </si>
  <si>
    <t>Documentation comparison in court</t>
  </si>
  <si>
    <t>To incentivize a race to the top where frontier developers pursue established best safety practices, courts can be given the power to compare documentation for defendants with that of peer developers.</t>
  </si>
  <si>
    <t>A0030_Casper2025</t>
  </si>
  <si>
    <t>Incident reporting</t>
  </si>
  <si>
    <t>Frontier developers can be required to document and report on substantial incidents in a timely manner.</t>
  </si>
  <si>
    <t>As fontes divergem sobre o risco tratado, o custo ou a evidência.</t>
  </si>
  <si>
    <t>As fontes convergem em parte, com divergências relevantes.</t>
  </si>
  <si>
    <t>As fontes convergem sobre o que a mitigação trata, custa e produz.</t>
  </si>
  <si>
    <t>Operacionalização de limiares de risco</t>
  </si>
  <si>
    <t>A0031_Casper2025</t>
  </si>
  <si>
    <t>Independent third-party risk assessments</t>
  </si>
  <si>
    <t>Matriz de incerteza (calculada na folha Catálogo)</t>
  </si>
  <si>
    <t>Developers can be required to have an independent third-party conduct and produce a report (including access, methods, and findings) on risk assessments of frontier systems (Raji et al., 2022; Anderljung et al., 2023; Casper et al., 2024). They can also be required to document if and what “safe harbor” policies they have to facilitate independent evaluation and red-teaming (Longpre et al., 2024).</t>
  </si>
  <si>
    <t>Operacionalizar limiares de risco, incluindo observações específicas e passíveis de teste, de modo que diferentes observadores com acesso às mesmas informações cheguem a um consenso sobre se um determinado limiar foi atingido. Tais observações específicas permitiriam que organizações que desenvolvem IA de fronteira definissem, de forma proativa, como responderiam a situações potencialmente complexas — garantindo uma resposta imediata caso elas ocorram —, além de viabilizar a prestação de contas e a verificação externa.
Contudo, dado que a ciência da avaliação de IA ainda está em estágio inicial, é pouco provável que seja possível definir um conjunto de observações passíveis de teste que detectem todos os riscos identificados com a devida confiabilidade. Em vez de depender exclusivamente desses testes predefinidos, as avaliações de risco podem levar em conta fontes de evidência mais amplas, como observações inesperadas ou preocupantes que surjam em análises exploratórias, previsões de especialistas ou informações relacionadas a riscos provenientes de outras organizações que desenvolvem IA de fronteira. Em particular, deve-se considerar eventuais riscos decorrentes da combinação de um determinado modelo com outros modelos ou ferramentas, independentemente de terem sido desenvolvidos pela mesma organização de IA de fronteira ou por terceiros.</t>
  </si>
  <si>
    <t>3.2, 4.1, 5.1</t>
  </si>
  <si>
    <t>3.2 ,  4.1 ,7.3</t>
  </si>
  <si>
    <t>Evidência \ Concordância</t>
  </si>
  <si>
    <t>A0032_Casper2025</t>
  </si>
  <si>
    <t>3.2 ,7.3</t>
  </si>
  <si>
    <t>Internal risk assessments</t>
  </si>
  <si>
    <t>Developers can be required to conduct and report on internal risk assessments of frontier systems.</t>
  </si>
  <si>
    <t>Limiares de risco sem observações específicas e testáveis, ou dependentes exclusivamente de testes predefinidos, deixando riscos emergentes sem detecção e impedindo consenso entre avaliadores, prestação de contas e verificação externa.</t>
  </si>
  <si>
    <t>Especificação de observações testáveis para cada limiar, com protocolo de verificação por diferentes observadores, registro de fontes de evidência complementares (análises exploratórias, previsões de especialistas, informações de outras organizações) e de riscos decorrentes da combinação com outros modelos ou ferramentas.</t>
  </si>
  <si>
    <t>A0033_Casper2025</t>
  </si>
  <si>
    <t>Labeling AI-generated content</t>
  </si>
  <si>
    <t>To aid in digital forensics, content produced from AI systems can be labeled with metadata, watermarks, and notices.</t>
  </si>
  <si>
    <t>A0087</t>
  </si>
  <si>
    <t>A0087_Future of Life Institute2024 AI-Generated Content Watermarking (0,21)</t>
  </si>
  <si>
    <t>A0034_Casper2025</t>
  </si>
  <si>
    <t>Model registration</t>
  </si>
  <si>
    <t>Developers can be required to register (McKernon et al., 2024) frontier systems with governing bodies (regardless of whether they will be externally deployed).</t>
  </si>
  <si>
    <t>DSIT UK (2023, p. 16-18), correlacionado ao NIST AI RMF 1.0 (subcategorias MAP 1.1, MEASURE 1.1 e MEASURE 2.3), detalha a operacionalização dos limiares em observações específicas e testáveis que permitam consenso entre avaliadores independentes, complementadas por pareceres de especialistas. De forma independente, a ISO/IEC 42001:2023 exige a especificação de medidas de verificação e validação com critérios de aceitação mensuráveis e objetivos (controle A.6.2.4 e seção B.6.2.4). Custo estimado pelo grupo, pela rubrica.</t>
  </si>
  <si>
    <t>A0035_Casper2025</t>
  </si>
  <si>
    <t>Model specification and basic info</t>
  </si>
  <si>
    <t>Developers can be required to document intended use cases and behaviors (e.g., OpenAI, 2024) and basic information about frontier systems such as scale.</t>
  </si>
  <si>
    <t>Referências</t>
  </si>
  <si>
    <t>MASTRANDREA, M. D. et al. Guidance Note for Lead Authors of the IPCC Fifth Assessment Report on Consistent Treatment of Uncertainties. IPCC, 2010.</t>
  </si>
  <si>
    <t>A0036_Casper2025</t>
  </si>
  <si>
    <t>Plans to minimize risks to society</t>
  </si>
  <si>
    <t>Developers can be required to produce a report on risks (Slattery et al., 2024) posed by their frontier systems and risk mitigation practices that they are taking to reduce them.</t>
  </si>
  <si>
    <t>MASTRANDREA, M. D. et al. The IPCC AR5 guidance note on consistent treatment of uncertainties: a common approach across the working groups. Climatic Change, v. 108, p. 675-691, 2011. DOI: 10.1007/s10584-011-0178-6.</t>
  </si>
  <si>
    <t>A0037_Casper2025</t>
  </si>
  <si>
    <t>Post-deployment monitoring reports</t>
  </si>
  <si>
    <t>Developers can be required to establish procedures for monitoring and periodically reporting on the uses and impacts of their frontier systems.</t>
  </si>
  <si>
    <t>NATIONAL INSTITUTE OF STANDARDS AND TECHNOLOGY. Guide for Conducting Risk Assessments. NIST SP 800-30 Rev. 1. Gaithersburg: NIST, 2012. DOI: 10.6028/NIST.SP.800-30r1.</t>
  </si>
  <si>
    <t>A0038_Casper2025</t>
  </si>
  <si>
    <t>Security measures</t>
  </si>
  <si>
    <t>Given the challenges of securing model weights and the hazards of leaks (Nevo et al., 2024), frontier developers can be required to document high-level noncompromising information about their security measures (e.g., Anthropic, 2024).</t>
  </si>
  <si>
    <t>A0039_Casper2025</t>
  </si>
  <si>
    <t>Shutdown procedures</t>
  </si>
  <si>
    <t>Developers can be required to document if and which protocols exist to shut down frontier systems that are under their control.</t>
  </si>
  <si>
    <t>A0040_Casper2025</t>
  </si>
  <si>
    <t>Whistleblower protections</t>
  </si>
  <si>
    <t>Regulations can explicitly prevent retaliation and offer incentives for whistleblowers who report violations of those regulations.</t>
  </si>
  <si>
    <t>A0041_Casper2025</t>
  </si>
  <si>
    <t>AI governance institutes</t>
  </si>
  <si>
    <t>National governments (or international coalitions) can create AI governance institutes to research risks, evaluate systems, and curate best risk management practices that developers are encouraged to adhere to.</t>
  </si>
  <si>
    <t>A0084_Future of Life Institute2024</t>
  </si>
  <si>
    <t>Adopted Risk Management Frameworks</t>
  </si>
  <si>
    <t/>
  </si>
  <si>
    <t>A0181; A0079; A0012;</t>
  </si>
  <si>
    <t>A0181_Schuett2023 Enterprise risk management (0,27); A0079_Eisenberg2025 Establish AI Risk Management System (0,21); A0012_Bengio2025 Risk management frameworks (0,18)</t>
  </si>
  <si>
    <t>A0085_Future of Life Institute2024</t>
  </si>
  <si>
    <t>AI incident reporting</t>
  </si>
  <si>
    <t>Does your organization report AI incidents, adverse events, and near-misses related to frontier AI models to the appropriate government?</t>
  </si>
  <si>
    <t>Aprimoramento de estruturas de avaliação de riscos</t>
  </si>
  <si>
    <t>Continue a refinar e redefinir as estruturas de avaliação de risco para modelos, conforme necessário, visando reduzir a lacuna entre os objetivos pretendidos para os limiares de risco e a forma como estes são operacionalizados atualmente. É natural que tais lacunas existam, dadas as limitações na ciência da avaliação e no estado atual do conhecimento sobre as capacidades existentes; portanto, o progresso rumo a uma estrutura robusta será, provavelmente, um processo iterativo. As estruturas de avaliação de risco podem empregar múltiplos métodos, incluindo estimativas de probabilidade e avaliações qualitativas das capacidades atuais.</t>
  </si>
  <si>
    <t>3.1, 6.5</t>
  </si>
  <si>
    <t>A0086_Future of Life Institute2024</t>
  </si>
  <si>
    <t>AI Safety Team</t>
  </si>
  <si>
    <t>Does your organization have a safety team? If yes, please provide the team name, a URL to the team’s website (if applicable), the team size (defined as FTE technical staff), and briefly describe its mission.</t>
  </si>
  <si>
    <t>Estruturas de avaliação de risco não refinadas ao longo do tempo, mantendo lacuna entre os objetivos dos limiares e sua operacionalização e gerando falsa percepção de segurança.</t>
  </si>
  <si>
    <t>Registro de revisões periódicas da estrutura de avaliação de risco, com análise documentada da lacuna entre os objetivos dos limiares e sua operacionalização e plano de refinamento (por exemplo, no controle de versões da estrutura).</t>
  </si>
  <si>
    <t>A0121</t>
  </si>
  <si>
    <t>A0121_Future of Life Institute2024 Internal Audit Team (0,15)</t>
  </si>
  <si>
    <t>A0087_Future of Life Institute2024</t>
  </si>
  <si>
    <t>AI-Generated Content Watermarking</t>
  </si>
  <si>
    <t>Are the outputs of your firm’s AI systems tagged with watermarks that indicate that an AI generates the material?
- Video
- Image</t>
  </si>
  <si>
    <t>A0033; A0161;</t>
  </si>
  <si>
    <t>A0033_Casper2025 Labeling AI-generated content (0,21); A0161_Future of Life Institute2024 Watermarking (0,16)</t>
  </si>
  <si>
    <t>A0088_Future of Life Institute2024</t>
  </si>
  <si>
    <t>Anonymous Reporting</t>
  </si>
  <si>
    <t>Does your company facilitate a verifiably anonymous process for current and former employees to raise risk-related concerns to the company’s board, to regulators, and to an appropriate independent organization with relevant expertise?</t>
  </si>
  <si>
    <t>DSIT UK (2023, p. 18-20), respaldado pelo NIST AI RMF 1.0 (subcategorias GOVERN 1.5, MEASURE 1.2 e MANAGE 4.2), orienta a revisão iterativa das estruturas de avaliação de risco para reduzir lacunas na medição das capacidades emergentes dos modelos. De forma alinhada, a ISO/IEC 42001:2023 estabelece o princípio da melhoria contínua do sistema de gestão e de seus processos de avaliação de risco (cláusula 10.1) e exige revisões periódicas das políticas e controles (controle A.2.4). Custo estimado pelo grupo, pela rubrica.</t>
  </si>
  <si>
    <t>A0089_Future of Life Institute2024</t>
  </si>
  <si>
    <t>Board of directors</t>
  </si>
  <si>
    <t>Information about board independence; any non-standard safety-related powers; whether it has a mandate to prioritize safety over profits.</t>
  </si>
  <si>
    <t>A0090_Future of Life Institute2024</t>
  </si>
  <si>
    <t>BOD Financial Stake in Company</t>
  </si>
  <si>
    <t>Do members of the board of directors hold a financial stake in the company?</t>
  </si>
  <si>
    <t>A0091_Future of Life Institute2024</t>
  </si>
  <si>
    <t>BOD formal risk committee</t>
  </si>
  <si>
    <t>Does the board of directors feature a formal risk committee that is tasked with overseeing the firm’s risk management practices? If yes, please name the members of this committee.</t>
  </si>
  <si>
    <t>A0176; A0121;</t>
  </si>
  <si>
    <t>A0176_Schuett2023 Board risk committee (0,37); A0121_Future of Life Institute2024 Internal Audit Team (0,17)</t>
  </si>
  <si>
    <t>A0092_Future of Life Institute2024</t>
  </si>
  <si>
    <t>BOD regular crisis training</t>
  </si>
  <si>
    <t>Does the BOD engage in regular crisis response training?</t>
  </si>
  <si>
    <t>A0093_Future of Life Institute2024</t>
  </si>
  <si>
    <t>Bug bounties for model vulnerabilities</t>
  </si>
  <si>
    <t>Any programs offering financial rewards for flagging model vulnerabilities or dangerous use-cases.</t>
  </si>
  <si>
    <t>A1020; A0177;</t>
  </si>
  <si>
    <t>A1020_Uuk2024 Bug bounty programs (0,22); A0177_Schuett2023 Bug bounty programs (0,18)</t>
  </si>
  <si>
    <t>A0094_Future of Life Institute2024</t>
  </si>
  <si>
    <t>Carbon emission analyses and offsets</t>
  </si>
  <si>
    <t>Information about carbon emission analyses and offsets.</t>
  </si>
  <si>
    <t>A0095_Future of Life Institute2024</t>
  </si>
  <si>
    <t>Carbon footprint assessment</t>
  </si>
  <si>
    <t>The development and deployment of the largest AI models use vast amounts of energy and resources. Does your organization rigorously assess its carbon footprint?</t>
  </si>
  <si>
    <t>Reavaliação do risco residual</t>
  </si>
  <si>
    <t>A0073</t>
  </si>
  <si>
    <t>Após a implementação de medidas de mitigação, reavalie o risco residual existente para determinar se são necessárias medidas adicionais. Dada a imprevisibilidade dos avanços nas capacidades e as limitações da ciência de avaliação de modelos, as medidas de mitigação previamente acordadas podem se mostrar insuficientes para situar um determinado modelo dentro de um patamar de risco aceitável. Podem ser utilizados critérios de aceitação de risco — prática comum em diversos outros contextos —, os quais servem como uma ferramenta importante para conferir maior clareza. Tais critérios podem evoluir ao longo do tempo e ser de natureza quantitativa ou qualitativa. Por exemplo, um risco pode ser aceito apenas se tiver sido reduzido a um nível “tão baixo quanto razoavelmente exequível”.</t>
  </si>
  <si>
    <t>3.1, 3.2</t>
  </si>
  <si>
    <t xml:space="preserve">3.1, 3.2, 7.4 </t>
  </si>
  <si>
    <t>A0073_Eisenberg2025 Implement environmental impact management sys (0,16)</t>
  </si>
  <si>
    <t>A0096_Future of Life Institute2024</t>
  </si>
  <si>
    <t>Chief Information Security Officer (CISO)</t>
  </si>
  <si>
    <t>Does your firm's leadership team feature a chief information security officer (CISO)?</t>
  </si>
  <si>
    <t>Risco residual não reavaliado após a implementação das mitigações, ou ausência de critérios de aceitação de risco claros, levando à liberação de modelos acima de um patamar de risco aceitável.</t>
  </si>
  <si>
    <t>Relatório de risco residual pós-mitigação, com os critérios de aceitação de risco adotados (quantitativos ou qualitativos, como “tão baixo quanto razoavelmente exequível”) e a decisão documentada sobre a suficiência das mitigações.</t>
  </si>
  <si>
    <t>A0217</t>
  </si>
  <si>
    <t>A0217_Schuett2023 Chief risk officer (0,20)</t>
  </si>
  <si>
    <t>A0097_Future of Life Institute2024</t>
  </si>
  <si>
    <t>Commitments related to internal governance mechanisms to ensure effective implementation of AI safety frameworks</t>
  </si>
  <si>
    <t xml:space="preserve">DSIT UK (2023, p. 20-22), fundamentado no NIST AI RMF 1.0 (subcategorias MANAGE 1.4, MANAGE 1.1 e GOVERN 1.3), orienta a reavaliação explícita do risco residual após a aplicação das mitigações para verificar se o modelo atinge critérios aceitáveis (ex.: "tão baixo quanto razoavelmente exequível"). Na norma ISO/IEC 42001:2023, a aprovação do plano de tratamento de riscos e a aceitação formal dos riscos residuais pela alta direção são exigências obrigatórias (cláusulas 6.1.3 e 8.3). Custo estimado pelo grupo, pela rubrica.   </t>
  </si>
  <si>
    <t>A0098_Future of Life Institute2024</t>
  </si>
  <si>
    <t>Commitments to involve external stakeholders in overseeing implementation of AI safety frameworks</t>
  </si>
  <si>
    <t>A0099_Future of Life Institute2024</t>
  </si>
  <si>
    <t>Company structure</t>
  </si>
  <si>
    <t>Information that indicates whether the structure of the firm would allow it to prioritize safety in critical situations or whether shareholder pressure could drive it to deploy capable but dangerous systems.</t>
  </si>
  <si>
    <t>A0100_Future of Life Institute2024</t>
  </si>
  <si>
    <t>Compliance certification with ISO, SOC, HIPAA</t>
  </si>
  <si>
    <t>A0101_Future of Life Institute2024</t>
  </si>
  <si>
    <t>Compliance to public commitments</t>
  </si>
  <si>
    <t>Voluntary commitments given by firms and any evidence of noncompliance.</t>
  </si>
  <si>
    <t>A0102_Future of Life Institute2024</t>
  </si>
  <si>
    <t>Compliance with Robots.txt Standards</t>
  </si>
  <si>
    <t>Does your organization abide by industry standards regarding robots.txt files, which allow websites to opt out of data collection?</t>
  </si>
  <si>
    <t>A0103_Future of Life Institute2024</t>
  </si>
  <si>
    <t>Comprehensive pre-training risk assessments</t>
  </si>
  <si>
    <t>Does your firm conduct comprehensive pre-training risk assessments? Such assessments should include forecasting (dangerous) capabilities and developing a model-specific risk taxonomy that includes reasonably foreseeable impacts on individuals, groups, organizations, and society. The taxonomy should include misuse cases and scenarios where malicious actors steal the model.</t>
  </si>
  <si>
    <t>Divulgação de limiares de risco a autoridades governamentais</t>
  </si>
  <si>
    <t>Informe as autoridades governamentais competentes quando um limiar de risco for atingido, apresentando também as medidas de mitigação propostas. Informe novamente os governos, antes da implementação, uma vez que as medidas de mitigação tenham sido adotadas e a avaliação do risco residual tenha sido realizada. Envolva proativamente outros atores relevantes, além dos governos, conforme apropriado.</t>
  </si>
  <si>
    <t>5.2, 6.5, 7.3</t>
  </si>
  <si>
    <t>5.2, 6.5, 7.4</t>
  </si>
  <si>
    <t>A0104_Future of Life Institute2024</t>
  </si>
  <si>
    <t>Comprehensive whistleblower protection policy</t>
  </si>
  <si>
    <t>Does your firm have a comprehensive whistleblower protection (WP) policy that outlines the relevant reporting process, protection mechanisms, and non-retaliation assurances? Does your organization cooperate with an external firm that handles whistleblowers from your organization, and does your organization require any employees to sign non-disparagement agreements? Please select all that apply.</t>
  </si>
  <si>
    <t>Governos não informados quando um limiar de risco é atingido e antes da implementação das mitigações, comprometendo a supervisão externa e a resposta coordenada a riscos graves.</t>
  </si>
  <si>
    <t>Comunicações formais às autoridades governamentais competentes, registradas com data, informando a violação do limiar e as mitigações propostas, e nova comunicação antes da implementação com o resultado da avaliação de risco residual.</t>
  </si>
  <si>
    <t>A1044; A0412; A0022;</t>
  </si>
  <si>
    <t>A1044_Uuk2024 Whistleblower protections (0,41); A0412_NIST2024 Whistleblower Protection (0,18); A0022_Bengio2025 Whistleblower protection (0,16)</t>
  </si>
  <si>
    <t>A0105_Future of Life Institute2024</t>
  </si>
  <si>
    <t>Control/Alignment Strategy</t>
  </si>
  <si>
    <t>We assess whether the company has publicly shared their strategy for ensuring that ever more advanced artificial intelligence remains under human control or remains aligned, and summarize contents of any such documents. We exclude policy recommendations to governments and other stakeholders.</t>
  </si>
  <si>
    <t>DSIT UK (2023, p. 22-24), em consonância com o NIST AI RMF 1.0 (subcategorias GOVERN 5.1, MAP 1.1, MEASURE 2.8 e MANAGE 4.3), orienta a notificação às autoridades governamentais competentes quando um limiar de risco for atingido e o envio de novo reporte pós-avaliação do risco residual. De forma equivalente, a ISO/IEC 42001:2023 trata do dever de reportar informações a autoridades reguladoras e partes interessadas no controle A.8.5 (Information for interested parties) e na seção B.8.5. Custo estimado pelo grupo, pela rubrica.</t>
  </si>
  <si>
    <t>A0106_Future of Life Institute2024</t>
  </si>
  <si>
    <t>Cyber Threat Intelligence Sharing</t>
  </si>
  <si>
    <t>Does your organization share cyber threat intelligence information with the appropriate government(s) and other leading AI firms?</t>
  </si>
  <si>
    <t>A0107_Future of Life Institute2024</t>
  </si>
  <si>
    <t>Data crawling practices</t>
  </si>
  <si>
    <t>Public information related to crawling practices.</t>
  </si>
  <si>
    <t>A0108_Future of Life Institute2024</t>
  </si>
  <si>
    <t>Deepfake creation policy</t>
  </si>
  <si>
    <t>Can individuals use your firm’s AI systems to create deepfakes (i.e., synthetic audio or visual representations) of a specific individual?</t>
  </si>
  <si>
    <t>A0109_Future of Life Institute2024</t>
  </si>
  <si>
    <t>Early Warning Evaluations for Catastrophic Risks</t>
  </si>
  <si>
    <t>Does your organization evaluate models during training for early warning signs of capabilities related to catastrophic risks to ensure risk thresholds are not exceeded? Please describe the regularity and scope of these evaluations and specify whether models are specifically fine-tuned to elicit the capabilities in question.</t>
  </si>
  <si>
    <t>A0110_Future of Life Institute2024</t>
  </si>
  <si>
    <t>Emergency Rollback Plan</t>
  </si>
  <si>
    <t>Critically dangerous capabilities or very severe yet unexpected misuse patterns might only surface after a system has been deployed. Has your firm developed an emergency response plan to react to scenarios where such problems cannot be resolved quickly via updates? Please select all interventions that your organization has implemented.
Made legal and technical preparations to roll back a system rapidly
Formally specified the risk threshold that would trigger a rapid rollback
Committed to regular safety drills to test emergency response</t>
  </si>
  <si>
    <t>A0180</t>
  </si>
  <si>
    <t>Acompanhamento (tudo calculado, não editar)</t>
  </si>
  <si>
    <t>A0180_Schuett2023 Emergency response plan (0,24); A1035_Uuk2024 Safety Drills (0,22)</t>
  </si>
  <si>
    <t>A0111_Future of Life Institute2024</t>
  </si>
  <si>
    <t>Expert Consultation on Societal Risks</t>
  </si>
  <si>
    <t>Has your organization consulted with top-level domain experts to assess whether your most capable models increase societal risks across the following domains?
Risks from biological weapons
Risks from autonomy (e.g., self-replication, deception)
Risks from cyber attacks
Risks from chemical weapons
Risks from manipulation and political influence
Risks from systematic discrimination against marginalized groups</t>
  </si>
  <si>
    <t>Adaptação de medidas de mitigação para usos não pretendidos do modelo</t>
  </si>
  <si>
    <t>Adapte as medidas de mitigação levando em conta os riscos decorrentes do uso não intencional de um modelo ou de sua utilização em contextos inesperados — por exemplo, um modelo que tenha suas salvaguardas removidas após ser disponibilizado como código aberto, ou um modelo que seja combinado com outro para finalidades não previstas. Assim, ao atingir um determinado patamar de risco, podem ser implementados controles de segurança da informação, mesmo antes de o modelo ser utilizado internamente por uma organização que desenvolve IA de fronteira. De modo geral, é prudente agir com cautela, dadas as limitações atuais nos controles de segurança da informação e na capacidade de prever habilidades emergentes em modelos.</t>
  </si>
  <si>
    <t>2.2, 4.1</t>
  </si>
  <si>
    <t>A0112_Future of Life Institute2024</t>
  </si>
  <si>
    <t>Financial incentives</t>
  </si>
  <si>
    <t>2.2, 4.1, 6.5</t>
  </si>
  <si>
    <t>Financial incentives of leadership; whether it has a mandate to prioritize safety over profits.</t>
  </si>
  <si>
    <t>Mitigações que ignoram uso não intencional ou em contextos inesperados (remoção de salvaguardas em código aberto, combinação com outros modelos) e controles de segurança da informação ausentes, gerando danos evitáveis.</t>
  </si>
  <si>
    <t>Plano de mitigação que contemple uso não intencional e contextos inesperados (por exemplo, remoção de salvaguardas em código aberto, combinação com outros modelos), com registro dos controles de segurança da informação aplicados conforme o patamar de risco, inclusive antes do uso interno.</t>
  </si>
  <si>
    <t>Catálogo</t>
  </si>
  <si>
    <t>Valor</t>
  </si>
  <si>
    <t>Meta</t>
  </si>
  <si>
    <t>A0113_Future of Life Institute2024</t>
  </si>
  <si>
    <t>Fine-Tuning Access Threshold</t>
  </si>
  <si>
    <t>Has your firm set a risk or capabilities threshold beyond which access to model fine-tuning should be restricted to prevent harm to the public? If yes, please elaborate on the threshold.</t>
  </si>
  <si>
    <t>Mitigações no catálogo</t>
  </si>
  <si>
    <t>A0114_Future of Life Institute2024</t>
  </si>
  <si>
    <t>Fine-tuning protections</t>
  </si>
  <si>
    <t xml:space="preserve">Fine-tuning restrictions that ensure the integrity of safety mitigations. </t>
  </si>
  <si>
    <t>DSIT UK (2023, p. 24-26), associado ao NIST AI RMF 1.0 (subcategorias MAP 1.1, MAP 3.3, MANAGE 2.3 e GOVERN 4.1), orienta a adaptação de salvaguardas considerando o uso não pretendido, reutilização em contextos inesperados ou remoção de travas de segurança em modelos abertos. De forma correspondente, a ISO/IEC 42001:2023 exige a avaliação dos impactos decorrentes do uso pretendido e do "uso indevido razoavelmente previsível" (foreseeable misuse) (cláusulas 6.1.4 e 8.4) e a implementação de controles de uso pretendido no controle A.9.4 e seção B.9.4. Custo estimado pelo grupo, pela rubrica.</t>
  </si>
  <si>
    <t>A0115_Future of Life Institute2024</t>
  </si>
  <si>
    <t>Fundamental Rights Impact Assessments</t>
  </si>
  <si>
    <t>Is your organization conducting fundamental rights impact assessments that seek input from a diverse group of external stakeholders who are impacted by your organization’s AI systems?</t>
  </si>
  <si>
    <t>A0008</t>
  </si>
  <si>
    <t>A0008_Bengio2025 Impact Assessment (0,29)</t>
  </si>
  <si>
    <t>A0116_Future of Life Institute2024</t>
  </si>
  <si>
    <t>Government access to AI systems</t>
  </si>
  <si>
    <t>Is the firm proactively granting government officials free access to its most capable systems so the government can better understand what the technology is capable of?</t>
  </si>
  <si>
    <t>Entradas incluídas na triagem</t>
  </si>
  <si>
    <t>A0117_Future of Life Institute2024</t>
  </si>
  <si>
    <t>Harmful Data Removal from Training Sets</t>
  </si>
  <si>
    <t>When training large models, does your organization remove data that contains information related to dangerous capabilities or harmful outcomes from the training set? If yes, please select the categories of data that are removed.
Detailed information about the development, acquisition, or dispersion of CBRN weapons
Instructional content for conducting cyberattacks
Hateful or discriminatory content
Advice or encouragement for self-harm
Graphic violent content
Graphic sexual content
Personally Identifiable Information (PII)
Detailed information about bomb-making or other terrorism-enabling tactics</t>
  </si>
  <si>
    <t>A0118_Future of Life Institute2024</t>
  </si>
  <si>
    <t>Hazardous Knowledge Unlearning</t>
  </si>
  <si>
    <t>Has your organization removed hazardous knowledge from its flagship model via unlearning techniques before deployment?</t>
  </si>
  <si>
    <t>Entradas analisadas na triagem</t>
  </si>
  <si>
    <t>A0119_Future of Life Institute2024</t>
  </si>
  <si>
    <t>Implementation of cybersecurity frameworks</t>
  </si>
  <si>
    <t>AGI labs should comply with information security standards (e.g. ISO/IEC 27001 or NIST Cybersecurity Framework). These standards need to be tailored to an AGI context.</t>
  </si>
  <si>
    <t>Entradas da triagem com assistência de IA</t>
  </si>
  <si>
    <t>A0210</t>
  </si>
  <si>
    <t>A0210_Schuett2023 Security standards (0,77); A0181_Schuett2023 Enterprise risk management (0,17)</t>
  </si>
  <si>
    <t>A0120_Future of Life Institute2024</t>
  </si>
  <si>
    <t>Independent Delphi Risk Assessments</t>
  </si>
  <si>
    <t>Is your organization collaborating with independent experts to conduct full Delphi processes to more accurately assess the risks associated with large development or deployment decisions?</t>
  </si>
  <si>
    <t>A1030</t>
  </si>
  <si>
    <t>Concordância exata entre anotadores (indicador)</t>
  </si>
  <si>
    <t>A1030_Uuk2024 Pre-deployment risk assessments (0,17)</t>
  </si>
  <si>
    <t>A0121_Future of Life Institute2024</t>
  </si>
  <si>
    <t>Internal Audit Team</t>
  </si>
  <si>
    <t>Does your firm have an internal audit team tasked with overseeing the effectiveness of its risk management practices? If yes, please briefly describe the team's responsibilities, size, powers, reporting lines, and whether it is led by a chief audit executive in the leadership team. In your response, please mention whether the team is independent of senior management and reports directly to the board of directors.</t>
  </si>
  <si>
    <t>Divulgação de avaliações de risco a terceiros</t>
  </si>
  <si>
    <t>A0185; A0091; A0086;</t>
  </si>
  <si>
    <t>Mantenha as partes interessadas relevantes atualizadas regularmente sobre a avaliação de riscos e as medidas de mitigação: isso permitirá avaliar se as organizações que atuam com IA possuem processos de gestão de riscos adequados, consolidar um panorama das melhores práticas e formular recomendações para suprir eventuais lacunas. Ao compartilhar essas informações com agentes externos, deve-se ter cautela quanto a dados comercialmente sensíveis. Atualizações pontuais adicionais podem ser fornecidas caso ocorram desenvolvimentos significativos. Inclua informações sobre avaliações, análise e mitigação de riscos, bem como sobre as pessoas envolvidas. Por exemplo: 1) Que tipos de testes e avaliações estão sendo realizados e em quais tipos de modelos; 2) Quais outros métodos de avaliação de riscos estão sendo empregados, que tipos de competências técnicas estão sendo mobilizados e se as partes interessadas afetadas estão sendo incluídas no processo; 3) Como as medidas de mitigação de riscos estão sendo monitoradas; 4) Quais equipes e indivíduos estão envolvidos nas diferentes etapas do processo de gestão de riscos (e de que forma, se for o caso, terceiros participam); 5) Medidas adotadas para tratar categorias específicas de risco, como, por exemplo, medidas de cibersegurança.</t>
  </si>
  <si>
    <t>2.1, 5.2, 6.5, 7.3</t>
  </si>
  <si>
    <t>A0185_Schuett2023 Internal audit (0,44); A0091_Future of Life Institute2024 BOD formal risk committee (0,17); A0086_Future of Life Institute2024 AI Safety Team (0,15)</t>
  </si>
  <si>
    <t>A0122_Future of Life Institute2024</t>
  </si>
  <si>
    <t>Internal review</t>
  </si>
  <si>
    <t>2.1, 6.5, 7.3</t>
  </si>
  <si>
    <t>Information regarding internal review mechanisms and audit functions that are relevant to decisions about the development and deployment of highly capable AI models. This includes ethics boards, board risk committees, and audit functions that test risk management practices.</t>
  </si>
  <si>
    <t>Partes interessadas sem informações regulares sobre avaliações, mitigações e responsáveis, ou com compartilhamento inadequado de dados comercialmente sensíveis, impedindo a verificação dos processos e a consolidação de melhores práticas.</t>
  </si>
  <si>
    <t>Relatórios periódicos às partes interessadas, descrevendo testes e avaliações realizados, métodos e competências mobilizados, monitoramento das mitigações, equipes e indivíduos envolvidos e medidas por categoria de risco (por exemplo, cibersegurança), com tratamento de dados comercialmente sensíveis.</t>
  </si>
  <si>
    <t>A0123_Future of Life Institute2024</t>
  </si>
  <si>
    <t>Internal review of high-stakes deployment decisions</t>
  </si>
  <si>
    <t>Does your company have one or more internal bodies that review deployment decisions related to highly capable AI models? This might be an ethics board or other body with a responsibility/safety related mandate.</t>
  </si>
  <si>
    <t>A1033</t>
  </si>
  <si>
    <t>Por membro</t>
  </si>
  <si>
    <t>Triagem: bloco</t>
  </si>
  <si>
    <t>Triagem: conferidas</t>
  </si>
  <si>
    <t>A1033_Uuk2024 Prohibiting high-stakes applications (0,18)</t>
  </si>
  <si>
    <t>Triagem: progresso</t>
  </si>
  <si>
    <t>A0124_Future of Life Institute2024</t>
  </si>
  <si>
    <t>KYC-Based Model Access Threshold</t>
  </si>
  <si>
    <t>DSIT UK (2023, p. 26-28), em sintonia com o NIST AI RMF 1.0 (subcategorias GOVERN 4.2, GOVERN 5.1, MEASURE 2.8 e MANAGE 4.3), orienta o compartilhamento periódico de informações sobre testes, avaliações e equipes envolvidas com terceiros e partes afetadas, resguardando informações proprietárias. De forma independente, a ISO/IEC 42001:2023 exige fornecer informações adequadas aos usuários e terceiros (controles A.8.2 e A.8.5; seções B.8.2 e B.8.5) e definir responsabilidades na cadeia de valor (controle A.10.2). Custo estimado pelo grupo, pela rubrica.</t>
  </si>
  <si>
    <t>Has your firm set a risk or capability threshold beyond which model access should require 'know-your-customer' screenings to prevent harm to the public? If yes, please elaborate on the threshold.</t>
  </si>
  <si>
    <t>Situação do catálogo</t>
  </si>
  <si>
    <t>A0125_Future of Life Institute2024</t>
  </si>
  <si>
    <t>Leadership communications on catastrophic risks</t>
  </si>
  <si>
    <t>We report whether leadership communicates to the public about potential catastrophic risks from advanced AI.</t>
  </si>
  <si>
    <t>A0126_Future of Life Institute2024</t>
  </si>
  <si>
    <t>Mandatory security controls</t>
  </si>
  <si>
    <t xml:space="preserve">- Use of password managers
- Physical security keys
- Compliance monitoring software for software updates
- Multifactor authentification on all platforms
- Regular cybersecurity training </t>
  </si>
  <si>
    <t>A0134</t>
  </si>
  <si>
    <t>A0134_Future of Life Institute2024 Physical security controls (0,17)</t>
  </si>
  <si>
    <t>A0127_Future of Life Institute2024</t>
  </si>
  <si>
    <t>Model Weight Release Threshold</t>
  </si>
  <si>
    <t>Has your firm set a risk or capabilities threshold beyond which a model's weights should not be made freely available to prevent harm to the public? If yes, please elaborate on the threshold.</t>
  </si>
  <si>
    <t>A0128_Future of Life Institute2024</t>
  </si>
  <si>
    <t>Monitor user interactions and remove access</t>
  </si>
  <si>
    <t>Does your organization monitor user interactions with its most capable AI systems to ban accounts that use the system for harmful or illegal purposes?</t>
  </si>
  <si>
    <t>A0160_Future of Life Institute2024 User Interaction Monitoring &amp; Response Restri (0,31)</t>
  </si>
  <si>
    <t>A0129_Future of Life Institute2024</t>
  </si>
  <si>
    <t>Multi-party authorisation for LLM deployment system changes</t>
  </si>
  <si>
    <t>Does your organization require multi-party authorization for all changes to systems directly involved in the deployment of large models?</t>
  </si>
  <si>
    <t>A0130_Future of Life Institute2024</t>
  </si>
  <si>
    <t>Notify government about large training runs</t>
  </si>
  <si>
    <t>Does your organization notify the appropriate government authorities about large upcoming training runs?</t>
  </si>
  <si>
    <t>Governança de riscos eficaz</t>
  </si>
  <si>
    <t>Estabeleça uma governança de riscos eficaz para assegurar que os riscos sejam adequadamente identificados, avaliados e tratados, e que sua natureza e dimensão sejam relatadas de forma transparente. Mais importante ainda: implemente mecanismos internos de controle e equilíbrio, o que pode incluir uma separação criteriosa de funções dentro da gestão de riscos.</t>
  </si>
  <si>
    <t>A0131_Future of Life Institute2024</t>
  </si>
  <si>
    <t>Offsetting of carbon footprint</t>
  </si>
  <si>
    <t>Does your organization fully offset its carbon footprint by donating to projects that capture or reduce carbon emissions?</t>
  </si>
  <si>
    <t>3.1, 6.5, 7.2, 7.3</t>
  </si>
  <si>
    <t>3.1, 4.1, 6.5, 7.2, 7.3</t>
  </si>
  <si>
    <t>Governança de riscos ineficaz, sem mecanismos internos de controle e equilíbrio nem separação de funções, gerando riscos não identificados, não tratados ou reportados sem transparência.</t>
  </si>
  <si>
    <t>Documento de estrutura de governança de riscos, definindo papéis, responsabilidades e separação de funções, com registros de mecanismos internos de controle e equilíbrio e de relatórios de riscos emitidos com transparência sobre sua natureza e dimensão.</t>
  </si>
  <si>
    <t>A0132_Future of Life Institute2024</t>
  </si>
  <si>
    <t>Ongoing model risk assessments</t>
  </si>
  <si>
    <t>Is your organization committed to regularly repeating risk assessments for its most capable models to account for progress in post-deployment model enhancements (e.g., scaffolding programs, tool use, prompt engineering)? If yes, please comment on the frequency and scope of these repeated model-specific risk assessments.</t>
  </si>
  <si>
    <t>A0133_Future of Life Institute2024</t>
  </si>
  <si>
    <t>Partnerships</t>
  </si>
  <si>
    <t>Any partnerships that can significantly shape company strategy.</t>
  </si>
  <si>
    <t>DSIT UK (2023, p. 28-30), articulado com o NIST AI RMF 1.0 (subcategorias GOVERN 1.1, GOVERN 1.4, GOVERN 2.1 e GOVERN 2.3), estabelece a necessidade de uma governança de riscos eficaz com segregação de funções (checks and balances) e envolvimento da liderança executiva. De forma direta e equivalente, a norma ISO/IEC 42001:2023 estrutura a governança como pilar central no item 5 (Liderança e comprometimento, cláusula 5.1; Papéis e responsabilidades, cláusula 5.3) e no controle A.3.2 (AI roles and responsibilities) e seção B.3.2. Custo estimado pelo grupo, pela rubrica.</t>
  </si>
  <si>
    <t>A0134_Future of Life Institute2024</t>
  </si>
  <si>
    <t>Physical security controls</t>
  </si>
  <si>
    <t xml:space="preserve">Please indicate whether your organization implements the following physical security controls. Please specify further whether they are implemented at all staff locations or more sparsely
- Offices guarded by physical security teams
- Comprehensive access logging for premises
- Office entrances monitored by security cameras
- Office access controlled via key cards implementing least access priviledge </t>
  </si>
  <si>
    <t>A0126</t>
  </si>
  <si>
    <t>A0126_Future of Life Institute2024 Mandatory security controls (0,17)</t>
  </si>
  <si>
    <t>A0135_Future of Life Institute2024</t>
  </si>
  <si>
    <t>Post-deployment external researcher access</t>
  </si>
  <si>
    <t>Any programs that support good faith safety research by external stakeholders. We report available funding, depth of model access, model versions, technical infrastructure, and any technical or legal safe harbors designed to mitigate barriers to safety research imposed by usage policy enforcement, interaction-logging, and stringent terms of service.</t>
  </si>
  <si>
    <t>Domínio de risco do MIT (meta: 3 mitigações ou mais)</t>
  </si>
  <si>
    <t>A0136_Future of Life Institute2024</t>
  </si>
  <si>
    <t>Powers of the BOD</t>
  </si>
  <si>
    <t>Mitigações</t>
  </si>
  <si>
    <t xml:space="preserve">Does the board have powers beyond appointing a new CEO (e.g., is it able to veto large deployment decisions?) </t>
  </si>
  <si>
    <t>1. Discriminação e toxicidade</t>
  </si>
  <si>
    <t>A0137_Future of Life Institute2024</t>
  </si>
  <si>
    <t>Pre-deployment external safety testing</t>
  </si>
  <si>
    <t>Any information related to external model audits. We specifically report information related to depth of model access, names of auditors, model versions, scope of evaluations, conflicts of interest, audit time and compensation.</t>
  </si>
  <si>
    <t>A1040</t>
  </si>
  <si>
    <t>A1040_Uuk2024 Third party pre-deployment model audits (0,20)</t>
  </si>
  <si>
    <t>A0138_Future of Life Institute2024</t>
  </si>
  <si>
    <t>Pre-deployment risk disclosure</t>
  </si>
  <si>
    <t>Does your organization share the results of its pre-deployment risk assessments with the appropriate government(s) before deploying a new model? Does this reporting include details on internal safety evaluations and any safety evaluations completed by independent third parties? Is the government provided with a justification for why the firm deems the system safe enough to deploy and is willing to accept the remaining risks? Please check all that apply.</t>
  </si>
  <si>
    <t>2. Privacidade e segurança</t>
  </si>
  <si>
    <t>A0139_Future of Life Institute2024</t>
  </si>
  <si>
    <t>Pre-development risk assessments</t>
  </si>
  <si>
    <t>Any information related to risk assessments and forecasts of dangerous capabilities conducted before large models are trained.</t>
  </si>
  <si>
    <t>A0140_Future of Life Institute2024</t>
  </si>
  <si>
    <t>Pre-specified risk tolerance</t>
  </si>
  <si>
    <t>Does the firm pre-specify its risk tolerance as part of its risk management approach to prevent unacceptable risks? If your firm sets any quantitative risk thresholds, please describe them here.</t>
  </si>
  <si>
    <t>3. Informação incorreta</t>
  </si>
  <si>
    <t>A0625; A0656; A0016;</t>
  </si>
  <si>
    <t>A0625_Barrett2024 Risk-Tolerance Thresholds (0,34); A0656_Barrett2024 Risk Tolerance Thresholds (0,22); A0016_Bengio2025 Risk Tolerance (0,19)</t>
  </si>
  <si>
    <t>A0141_Future of Life Institute2024</t>
  </si>
  <si>
    <t>Pre-training risk disclosure</t>
  </si>
  <si>
    <t>Does your organization share the results of model-specific pre-training risk assessments with the appropriate government authorities before launching large training runs?</t>
  </si>
  <si>
    <t>4. Agentes maliciosos e uso indevido</t>
  </si>
  <si>
    <t>A0142_Future of Life Institute2024</t>
  </si>
  <si>
    <t>Privacy of user inputs</t>
  </si>
  <si>
    <t>We report whether firms use user-interaction data to improve their services.</t>
  </si>
  <si>
    <t>5. Interação humano-computador</t>
  </si>
  <si>
    <t>A0143_Future of Life Institute2024</t>
  </si>
  <si>
    <t>Protections that guard critical decisions against stakeholder pressure</t>
  </si>
  <si>
    <t>Is your firm's governance structure set up in a way that would allow its leadership to prioritize safety in critical situations even if such a decision runs counter to the profit incentive (e.g., choosing not to deploy very capable yet critically dangerous AI systems)? Are there any protections that guard such decisions against shareholder pressure (e.g., in the form of lawsuits)? Are shareholders briefed that such situations might arise in the future? Please describe how your firm prioritizes safety (e.g., relevant policies, legal structure, etc.).</t>
  </si>
  <si>
    <t>6. Socioeconômico e ambiental</t>
  </si>
  <si>
    <t>A0144_Future of Life Institute2024</t>
  </si>
  <si>
    <t>Public explanation of governance structure</t>
  </si>
  <si>
    <t>Has your organization released a public resource explaining the firm’s governance structure? Such a resource should make transparent how important decisions regarding the development and deployment of frontier AI models are made. If yes, please share a URL.</t>
  </si>
  <si>
    <t>7. Segurança, falhas e limitações de sistemas de IA</t>
  </si>
  <si>
    <t>A0145_Future of Life Institute2024</t>
  </si>
  <si>
    <t>Public Risk Threshold for Deployment</t>
  </si>
  <si>
    <t>Has your organization publicly specified an evaluations-based risk or capabilities threshold that would cause the firm not to deploy a model and to pause further development until it can implement adequate risk mitigation? If yes, please provide a URL to the website specifying these commitments.</t>
  </si>
  <si>
    <t>A0146_Future of Life Institute2024</t>
  </si>
  <si>
    <t>Publication of Alignment Research</t>
  </si>
  <si>
    <t>Does your organization publish alignment research? If yes, please provide a URL to a website that showcases relevant publications.</t>
  </si>
  <si>
    <t>A0147_Future of Life Institute2024</t>
  </si>
  <si>
    <t>Regular third-party penetration testing</t>
  </si>
  <si>
    <t>Does your organization regularly task third-party cybersecurity penetration testers to find vulnerabilities in the infrastructure on which models are developed and deployed? If yes, please share the cumulative budget your firm has dedicated to external pen tests in 2023 and specify the regularity at which your firm invites external pen tests. Please indicate the cumulative budget for third-party physical pen tests in 2023 separately.</t>
  </si>
  <si>
    <t>Subcategoria de Saeri et al. (cobertura)</t>
  </si>
  <si>
    <t>A0148_Future of Life Institute2024</t>
  </si>
  <si>
    <t>Require security clearances and have private investigators conduct security checks</t>
  </si>
  <si>
    <t xml:space="preserve">Does your organization defend against insider threats by requiring security clearances or by having private investigators conduct background checks? Please select which interventions are applied when hiring or appointing individuals for the groups listed below.
- Members of the board of directors
- All staff with access to model weights
- Certain key employees
- All Staff </t>
  </si>
  <si>
    <t>A0175</t>
  </si>
  <si>
    <t>A0175_Schuett2023 Background checks (0,26)</t>
  </si>
  <si>
    <t>A0149_Future of Life Institute2024</t>
  </si>
  <si>
    <t>Safety evaluation transparency</t>
  </si>
  <si>
    <t>We highlight the main sources of information about content and results of the safety evaluations.</t>
  </si>
  <si>
    <t>A0150_Future of Life Institute2024</t>
  </si>
  <si>
    <t>Safety research</t>
  </si>
  <si>
    <t>We report whether the company seriously engages in research dedicated to ensuring the safety and control/alignment of ever more advanced future AI models. We report the amount of publications and research directions.</t>
  </si>
  <si>
    <t>A0151_Future of Life Institute2024</t>
  </si>
  <si>
    <t>Security breach disclosure</t>
  </si>
  <si>
    <t>Does your organization disclose security breaches to the appropriate government(s)? Does this policy include reporting of near-misses?</t>
  </si>
  <si>
    <t>A0152</t>
  </si>
  <si>
    <t>A0152_Future of Life Institute2024 Security breach disclosure (1,00)</t>
  </si>
  <si>
    <t>A0152_Future of Life Institute2024</t>
  </si>
  <si>
    <t>A0151</t>
  </si>
  <si>
    <t>A0151_Future of Life Institute2024 Security breach disclosure (1,00)</t>
  </si>
  <si>
    <t>A0153_Future of Life Institute2024</t>
  </si>
  <si>
    <t>Senior executive (c-level) financial stake in company</t>
  </si>
  <si>
    <t>Does any senior executive (c-level) within your firm hold a financial stake in the company?</t>
  </si>
  <si>
    <t>A0154_Future of Life Institute2024</t>
  </si>
  <si>
    <t>Support for Independent AI Safety Research</t>
  </si>
  <si>
    <t>Does your organization support trusted independent AI safety researchers by allowing them to use your firm’s most capable systems free of charge or at a strongly discounted rate and not disabling their accounts if they trigger safety-monitoring systems? Please roughly indicate the current number of such collaborations with independent safety researchers your organization supports.</t>
  </si>
  <si>
    <t>A0155_Future of Life Institute2024</t>
  </si>
  <si>
    <t>Supporting external safety research</t>
  </si>
  <si>
    <t>We note actions by which the firm supports external existentialsafety-relevant researchers.</t>
  </si>
  <si>
    <t>A0156_Future of Life Institute2024</t>
  </si>
  <si>
    <t>Third-party Dangerous Capabilities Assessment</t>
  </si>
  <si>
    <t>Has your organization collaborated with independent third-party organizations to assess your most capable AI model for dangerous capabilities as part of your pre-deployment risk assessment? If so, please provide the names of the organizations you worked with. Please also comment on the depth of model access provided to these organizations (e.g., access to fine-tuning or access to model without safety filters).</t>
  </si>
  <si>
    <t>A0157_Future of Life Institute2024</t>
  </si>
  <si>
    <t>Uplift trials</t>
  </si>
  <si>
    <t>Information about human-participant trials conducted to assess the marginal risks of model-access.</t>
  </si>
  <si>
    <t>A0158_Future of Life Institute2024</t>
  </si>
  <si>
    <t>Use of copyrighted data in training</t>
  </si>
  <si>
    <t>Many artists, writers, programmers, journalists, photographers, musicians, and filmmakers complain that AI models are trained on their copyrighted works without consent, compensation, or attribution, offering rival services that harm their ability to make a living. Does your organization engage in such practices?</t>
  </si>
  <si>
    <t>A0159_Future of Life Institute2024</t>
  </si>
  <si>
    <t>User data usage for training</t>
  </si>
  <si>
    <t>When using the default settings of your organization’s most capable AI chatbot, is the data that users submit as input to the system used to train AI models?</t>
  </si>
  <si>
    <t>A0160_Future of Life Institute2024</t>
  </si>
  <si>
    <t>User Interaction Monitoring &amp; Response Restrictions</t>
  </si>
  <si>
    <t>Does your organization monitor user interactions with its most capable AI models and restrict answers to specific prompts to avoid model interactions that support harmful or criminal activities?</t>
  </si>
  <si>
    <t>A0128; A0426;</t>
  </si>
  <si>
    <t>A0128_Future of Life Institute2024 Monitor user interactions and remove access (0,31); A0426_NIST2024 User Interaction Documentation (0,19)</t>
  </si>
  <si>
    <t>A0161_Future of Life Institute2024</t>
  </si>
  <si>
    <t>Watermarking</t>
  </si>
  <si>
    <t>Information regarding integrated watermarking systems.</t>
  </si>
  <si>
    <t>A0087_Future of Life Institute2024 AI-Generated Content Watermarking (0,16)</t>
  </si>
  <si>
    <t>A0162_Future of Life Institute2024</t>
  </si>
  <si>
    <t>Whistle-blower protection and non-disparagement agreements</t>
  </si>
  <si>
    <t>Public information about whistleblower protection policies and uses of strict non-disparagement agreements.</t>
  </si>
  <si>
    <t>Subcategorias sem mitigação não são necessariamente um problema: algumas podem não ter entradas aplicáveis ao ator do catálogo (por exemplo, segurança de pesos de modelo). Nesses casos, registre o motivo na folha Instruções ou no relato do método.</t>
  </si>
  <si>
    <t>A0163_Future of Life Institute2024</t>
  </si>
  <si>
    <t>Windfall Plan</t>
  </si>
  <si>
    <t>Rapid advances in AI could lead to immense power concentration. Has your organization made any preparations for future scenarios in which the firm experiences extreme windfall profits? Has the organization developed a plan for redistributing vast resources to all of humanity?</t>
  </si>
  <si>
    <t>Sugeridas como elegíveis pela IA</t>
  </si>
  <si>
    <t>A0164_Future of Life Institute2024</t>
  </si>
  <si>
    <t>Chief Risk Officer (CRO)</t>
  </si>
  <si>
    <t>Já conferidas pelo grupo (com Decisão)</t>
  </si>
  <si>
    <t>A0165_Future of Life Institute2024</t>
  </si>
  <si>
    <t>Dangerous capability evaluations</t>
  </si>
  <si>
    <t>Divergências: grupo disse Não ao Ator e a IA disse Sim, ou o contrário</t>
  </si>
  <si>
    <t>This indicator reports on pre-deployment capability evaluations related to catastrophic risks. Model evaluations for other risks are not included here, as the empirical tests covered in the ‘Current Harms’ section provide a superior metric. Information includes evaluated risk domains, available information regarding model versions &amp; task-specific fine-tuning, and relevant sources. We note that quality of evaluations may differ.</t>
  </si>
  <si>
    <t>A0166_Future of Life Institute2024</t>
  </si>
  <si>
    <t>Internal red teaming exercises for cybersecurity infrastructure</t>
  </si>
  <si>
    <t>A0167_Future of Life Institute2024</t>
  </si>
  <si>
    <t>Military, warfare &amp; intelligence applications:</t>
  </si>
  <si>
    <t>Any information related to engagements with militaries and intelligence agencies.</t>
  </si>
  <si>
    <t>A0168_Future of Life Institute2024</t>
  </si>
  <si>
    <t>Mission statement</t>
  </si>
  <si>
    <t>Does the company’s mission statement explicitly prioritizes safety?</t>
  </si>
  <si>
    <t>A0169_Future of Life Institute2024</t>
  </si>
  <si>
    <t>Terms of Service</t>
  </si>
  <si>
    <t>We analyzed companies’ terms of service to identify any assurances about the quality, reliability, and accuracy of their products or services.</t>
  </si>
  <si>
    <t>A0170_Future of Life Institute2024</t>
  </si>
  <si>
    <t>Testimonies to policymakers</t>
  </si>
  <si>
    <t>Public information related to direct communication with policymakers. We note whether company leadership used the opportunity to inform policymakers about the potential for catastrophic risks from advanced AI. Note that we have selected the most explicit risk-related statements. These do reflect overall communication strategies.</t>
  </si>
  <si>
    <t>A0934_Gipiškis2024</t>
  </si>
  <si>
    <t xml:space="preserve">Use of Synthetic Data </t>
  </si>
  <si>
    <t>Synthetic data refers to data that is not collected from the real world. It is used to train AI models as an alternative to, or augmentation of, natural data. Effective use and generation of synthetic data allows for more oversight by the trainer on the training dataset because they have more control over its statistical properties. Synthetic data can help against dataset bias by having more samples from a particular distribution or minority group. It can also help in privacy by having more samples to mask sensitive data</t>
  </si>
  <si>
    <t>A0935_Gipiškis2024</t>
  </si>
  <si>
    <t>Restrict web access during AI training</t>
  </si>
  <si>
    <t>Developers can restrict or disable AI systems’ internet access during training. For example, developers can restrict web access to read-only (e.g., by disabling write-access through HTTP POST requests and access to web forms) or limit the access of the AI system to a local network</t>
  </si>
  <si>
    <t>A0936_Gipiškis2024</t>
  </si>
  <si>
    <t>Adversarial training</t>
  </si>
  <si>
    <t>Adversarial training [83] is a technique for training AI models in which adver- sarial inputs are generated for a model, and the model is then trained to give the correct outputs for those adversarial inputs.
Adversarial training can involve adversarial examples generated by human experts, human users, or other AI systems.</t>
  </si>
  <si>
    <t>A1019</t>
  </si>
  <si>
    <t>A1019_Uuk2024 Adversarial Robustness (0,17)</t>
  </si>
  <si>
    <t>A0937_Gipiškis2024</t>
  </si>
  <si>
    <t>Cost-inducing training of AI models specifically for malicious use</t>
  </si>
  <si>
    <t>AI models can be designed to make further post-training modifications (e.g., fine-tuning) too costly for malicious uses while preserving normal adaptability for non-malicious uses</t>
  </si>
  <si>
    <t>A0938_Gipiškis2024</t>
  </si>
  <si>
    <t>Calibrated confidence measures for model pre- dictions</t>
  </si>
  <si>
    <t>Incorporating calibrated confidence measures alongside a model’s predictions and standard performance metrics, such as accuracy, can help users identify in- stances of overconfidence in incorrect predictions or underconfidence in correct ones [85]. These additional measures can provide users with more information to better interpret the model’s decisions and assess whether its predictions can be trusted.</t>
  </si>
  <si>
    <t>A0939_Gipiškis2024</t>
  </si>
  <si>
    <t>Incorporating the estimation of atypical input samples or classes for better model reliability</t>
  </si>
  <si>
    <t>Incorporating the estimation of rare atypical input samples or classes might improve a model’s reliability, both with respect to its predictions and confidence calibration. Model predictions for rare inputs and classes may have a tendency of being overconfident and have worse accuracy scores [232]. For LLMs, the negative log-likelihood can be used as an atypicality measure. For discriminative models, Gaussian Mixture Models can be employed to estimate conditional and marginal distributions, which are then used in atypicality measurement.</t>
  </si>
  <si>
    <t>A0940_Gipiškis2024</t>
  </si>
  <si>
    <t>Data cleaning</t>
  </si>
  <si>
    <t>Providers can filter out the training dataset via multiple layered techniques, ranging from rule-based filters to anomaly detection via data point influence or statistical anomalies of individual data points [213]. For example, a data cleaning procedure can involve the use of filename checkers to detect duplicates or wrongly formatted data, which then moves to flagging the most influential data samples from the dataset via influence functions for anomaly detection.</t>
  </si>
  <si>
    <t>A0941_Gipiškis2024</t>
  </si>
  <si>
    <t>Internal data poisoning diagnosis</t>
  </si>
  <si>
    <t>Providers can have an internal framework to identify what specific data poison- ing attack their model may be a victim of based on a set of symptoms, such as analysis of target algorithm and architecture, perturbation scope and dimen- sion, victim model, and data type [39]. This framework includes known defenses against the diagnosed attack, which providers can then apply to the model.</t>
  </si>
  <si>
    <t>Scope red-teaming activities based on deploy- ment context</t>
  </si>
  <si>
    <t>Red-teaming activities can be tailored and compared based on the specific deployment circumstances of an AI system. This involves adapting the scope, depth, and focus of red-teaming efforts to match the intended use case, potential risks, and operational context of the AI system.
Points of consideration include:
• The diversity of potential users and use cases
• The sensitivity and impact of the application domain
• The scale of deployment and potential reach
• Known vulnerabilities or concerns specific to the model or similar systems</t>
  </si>
  <si>
    <t>A0943_Gipiškis2024</t>
  </si>
  <si>
    <t>Red teaming to test the resilience of open-weights models to fine-tuning</t>
  </si>
  <si>
    <t xml:space="preserve">Before the release of open-weights models, red teamers can test the resilience of safety training against fine-tuning. Safety training may be partially or fully overridden by fine-tuning intentionally (e.g., by malicious actors) or uninten- tionally (e.g., by fine tuning an AI model for a specific use case) </t>
  </si>
  <si>
    <t>A0944_Gipiškis2024</t>
  </si>
  <si>
    <t>Pre-deployment access by third-party auditors</t>
  </si>
  <si>
    <t>Prior to full deployment of general-purpose AI models, a group of third-party auditors who are not selected by the GPAI model provider could get early access to AI models in order to evaluate them from a variety of different perspectives and with diverse interests [30, 157]. This prevents cases where the developers of AI models select auditors that are especially favorable to the developers, which could result in biased or incomplete evaluations, or contribute to an unjustified public perception of the capabilities and risks of the model.</t>
  </si>
  <si>
    <t>A0945_Gipiškis2024</t>
  </si>
  <si>
    <t>Audits with specific scoped goals</t>
  </si>
  <si>
    <t>Audits of AI systems will be easier to perform, and have clearer results if the scope and goals of the evaluation are formulated as precisely as possible [157], or have a connection to concrete existing policy.</t>
  </si>
  <si>
    <t>A0946_Gipiškis2024</t>
  </si>
  <si>
    <t>Evaluating explainability method sensitivity to data inputs and model parameters</t>
  </si>
  <si>
    <t>Model parameter and data randomization tests can be employed as sanity checks [2] to determine the relationship between a model, its inputs, and the explainability method. If an explanation is independent from or insensitive to the underlying model or the input data, it would indicate a lack of reliability of the explainability method.</t>
  </si>
  <si>
    <t>A0947_Gipiškis2024</t>
  </si>
  <si>
    <t>Enforcing model output interpretability post-training</t>
  </si>
  <si>
    <t>While a resulting trained model may be opaque with respect to its predictions, the final output in a system that involves the model can nonetheless be com- pletely interpretable.
For example, a neuro-symbolic system for robot navigation can use a language model to generate potential navigation plans, then have a deterministic solver simulate executing valid plans [128]. The optimal plan found is executed in the real world and is interpretable.</t>
  </si>
  <si>
    <t>A0948_Gipiškis2024</t>
  </si>
  <si>
    <t>Paraphrasing to reduce hidden information</t>
  </si>
  <si>
    <t>Paraphrasing can mitigate steganography and encoded reasoning by reducing the physical size of the hidden information encoded in text [166].</t>
  </si>
  <si>
    <t>A0949_Gipiškis2024</t>
  </si>
  <si>
    <t>Testing for erroneous or irrelevant features through concept learning</t>
  </si>
  <si>
    <t>Interpretability techniques, particularly concept learning [77], can be used to test whether a model is learning erroneous features or relying on irrelevant features in its predictions. This can help identify and mitigate potential risks associated with incorrect or non-informative features influencing the model’s outputs.</t>
  </si>
  <si>
    <t>A0950_Gipiškis2024</t>
  </si>
  <si>
    <t>Dashboard of model properties</t>
  </si>
  <si>
    <t>A dashboard [41] displays all the relevant information about the model’s internal state and the model’s physical properties to the user. It is used to ensure that the user is informed about factors that influence the behavior of the model and to ensure that the user maintains control over the model. Allowing only the user to access the dashboard can aid in information asymmetry between the user and model, thus supporting the user oversight over the model.
Examples of the model’s internal state include its representations of the world, representation of users, and the strategies it is currently pursuing; while examples of the model’s physical properties include the model’s compute and energy consumption, physical storage occupied, and physical networks it is connected to.</t>
  </si>
  <si>
    <t>A0951_Gipiškis2024</t>
  </si>
  <si>
    <t>Modification of model internal representation</t>
  </si>
  <si>
    <t>Model providers can modify the internal representation of the model [135, 237] up to the granular level and in consultation with other tools that aid in under- standing what the internal representation of the model is.
For example, if a model that is meant to give factual health data learned an incorrect fact, the model provider can use Linear Artificial Tomography (LAT) [237] to identify the representations responsible for the incorrect fact, and then modify that representation via modifying individual weights, or modify the en- tire representation itself by modifying entire layers.</t>
  </si>
  <si>
    <t>A0952_Gipiškis2024</t>
  </si>
  <si>
    <t>Incorporating goal uncertainty into AI systems to mitigate risky behaviors</t>
  </si>
  <si>
    <t>Incorporating uncertainty into AI system goals can prevent rushed decision- making and incentivize such systems to gather additional information or to refer to human oversight when faced with ambiguity [228].</t>
  </si>
  <si>
    <t>A0953_Gipiškis2024</t>
  </si>
  <si>
    <t>Evaluations for truthful outputs</t>
  </si>
  <si>
    <t>AI systems can be evaluated for truthfulness when answering questions, includ- ing in contexts where humans tend to give incorrect but widely-accepted answers (i.e., popular misconceptions). Evaluations detect incorrect facts learned about the world, inadequate capabilities of the AI system, and misleading outputs by the AI system [121].</t>
  </si>
  <si>
    <t>A0954_Gipiškis2024</t>
  </si>
  <si>
    <t>Interpretability techniques that target deception</t>
  </si>
  <si>
    <t>Interpretability techniques can be used for finding the root causes of outputs of an AI model that reliably lead to false beliefs for its users (e.g., deceptive behavior) [180]. It is often difficult to distinguish a deceptive AI model from an honest AI model, since absence of deception and very sophisticated (hard to detect) deception may appear behaviorally similar. Interpretability techniques and tools can be used to detect whether AI model outputs arise from internal computations representing deception. This can apply in cases of purposely trained deception by the developer or if it emerges unintentionally during training. These interpretability tools can come from mechanistic interpretability, such as identification of features involved in generating the outputs, or attribution of parts of the input most important in generating the output [129].</t>
  </si>
  <si>
    <t>A0955_Gipiškis2024</t>
  </si>
  <si>
    <t>Benchmarks for Situational Awareness</t>
  </si>
  <si>
    <t xml:space="preserve">A model is situationally aware if it internally represents that it is a machine learning model and if it can accurately infer or act on model-relevant facts - e.g., if it is currently in training, testing, evaluation or deployment, or the desired outcome of an evaluation. Some benchmarks exist for situational awareness of AI models, which test whether the AI models can classify stereotypical inputs from training, test- ing, evaluation and deployment as such, and whether the AI model can use this information correctly to take actions in the world [25, 111].
</t>
  </si>
  <si>
    <t>A0956_Gipiškis2024</t>
  </si>
  <si>
    <t>Evaluating AI systems’ performance on self-proliferation-related tasks</t>
  </si>
  <si>
    <t>To prevent AI systems from self-proliferating, developers of AI systems can evaluate those systems for their capability to engage in self-proliferation-related tasks. This type of evaluation might assess an AI system’s ability to replicate its com- ponents (including model weights, structural scaffolding, etc.) onto other local or cloud infrastructures prior to deployment. Additionally, it may test the system’s capacity to purchase cloud credits and configure virtual machines on a cloud platform. The evaluation could offer a predefined environment (such as a virtual container) to facilitate self-replication, providing access to the system’s own components, a network connection to a resource-equipped external computer, and other necessary resources [12, 106].
Self-proliferation evaluations can be conducted in a secure environment to pre- vent a self-replicating AI system from affecting other computers.</t>
  </si>
  <si>
    <t>A0957_Gipiškis2024</t>
  </si>
  <si>
    <t>Demonstrating a “margin of safety” for the worst plausible system failures</t>
  </si>
  <si>
    <t>Model developers can demonstrate that there is an acceptable “margin of safety” between the current version of the model and a plausible version with dangerous capabilities or potential system failures, whether these arise from the model itself or through scaffolding. This “margin of safety” can be tracked and evaluated based on the model’s performance on either component tasks or proxy tasks with varying levels of difficulty [44], and it is particularly relevant for general- purpose models with emergent properties, where some of the risks, use cases, and model capabilities may be unknown even at the time of deployment.
Margin of safety (also called “safety factor”) is a common practice in many in- dustries - particularly in physical structures. It is common for this margin to be very conservative when feasible (e.g., 4+ in fasteners on critical structures). In situations where a high margin of safety is impractical, it may be supplemented by more frequent inspections and additional process controls. A lower safety factor can also be managed by adopting conservative assumptions regarding worst-case conditions.</t>
  </si>
  <si>
    <t>A0958_Gipiškis2024</t>
  </si>
  <si>
    <t>Employing qualitative assessments in difficult- to-measure domains</t>
  </si>
  <si>
    <t>Qualitative evaluation can be used in cases when quantitative measurement is not feasible. This can give additional insights about the system which would not be available if no measurement was performed due to its difficulty [206].</t>
  </si>
  <si>
    <t>A0959_Gipiškis2024</t>
  </si>
  <si>
    <t>Scenario analysis</t>
  </si>
  <si>
    <t>Scenario analysis involves development of several plausible future scenarios, where these scenarios may be generated from varying the assumptions of a small set of driving forces. The scenarios developed can be used to take further actions to improve overall preparedness [107].
For example, scenarios to explore frontier AI risks can be developed, where they can involve different assumptions on factors such as AI capability, ownership, safety, usage, and geopolitical contexts, as well as its implications on key policy issues [203].</t>
  </si>
  <si>
    <t>A0020</t>
  </si>
  <si>
    <t>A0020_Bengio2025 Scenario Analysis (0,27)</t>
  </si>
  <si>
    <t>A0960_Gipiškis2024</t>
  </si>
  <si>
    <t>Fishbone diagram</t>
  </si>
  <si>
    <t>The fishbone diagram, or a “cause-and-effect diagram” [107], can be used to show the potential causes of an undesirable event.
The diagram is created by first placing a specific risk event at the “head” of the diagram, typically facing the right. Then, to the left of the risk event, the “ribs” branch off from the “backbone” to represent major causes, which further branch into sub-branches to represent root-causes, extending to as many levels as required. This is typically done via backward-reasoning, where various potential causes are explored after the risk event has been selected for analysis using this method.
For example, the risk event “AI systems generate toxic content” can be placed at the “head” of the diagram, where the branches may include causal factors like “AI trained on data containing toxicity” and “successful jailbreaking of AI despite fine-tuning.”</t>
  </si>
  <si>
    <t>A0961_Gipiškis2024</t>
  </si>
  <si>
    <t>Causal mapping</t>
  </si>
  <si>
    <t>Causal mapping is a technique used to explore and map complex interactions between cause and effect of risks. It involves coming up with potential events related to an undesirable issue, with each event represented by a text box, then clustering similar events according to themes, and finally drawing arrows to illustrate the causal relationship between the different events. The completed causal map can then be analyzed to identify central events, clusters of events, feedback loops, and other relevant patterns [107].
For example, causal mapping can be used to explore factors that lead to high- level model capabilities (e.g., “machine intelligence”), and the nodes may in- clude factors such as “concept formation” and “flexible memory,” where certain nodes may be found to be especially crucial if they have more outgoing arrows connecting them to other nodes.</t>
  </si>
  <si>
    <t>A0962_Gipiškis2024</t>
  </si>
  <si>
    <t>Delphi technique</t>
  </si>
  <si>
    <t xml:space="preserve">The Delphi technique is a multi-round forecasting process based on a structured framework on collecting and collating multiple expert judgments. It brings the benefits of anonymous and remote participation which may result in increased likelihood estimation accuracy compared to merely averaging individual estima- tions or simple group discussions [107].Given a panel of experts, at each round, the experts are presented with an ag- gregated summary of the results from the previous round, and are then allowed to update their answers accordingly. The process ends when either a consen- sus is reached or the responses in later rounds no longer change significantly. This method enables elicitation of expert judgment while utilizing wisdom of the crowd in the process.
A potential application of the Delphi technique is to solicit expert judgment on the likelihood of systemic risks from AI development, where crucial variables identified during each round of questionnaire can be further studied for the purpose of risk mitigation.
</t>
  </si>
  <si>
    <t>A0963_Gipiškis2024</t>
  </si>
  <si>
    <t>Cross-impact analysis</t>
  </si>
  <si>
    <t>Cross impact analysis is a forecasting methodology that analyzes the likelihood of a particular issue using expert analysis (i.e., Delphi technique) in combination with analysis of events correlated with the said issue. It involves decomposing an issue into discrete and correlated events, and then collecting expert opinion on each of those events. Analysis of each event from multiple viewpoints can yield potential future scenarios [107].
For example, an issue may be “advances in AI,” which can be broken down into two correlated events like “advances in hardware” or “advances in algorithms,” where the likelihood of occurrences of each event can be estimated via the Delphi technique while taking into account their interactions with other events.</t>
  </si>
  <si>
    <t>Bow-tie analysis</t>
  </si>
  <si>
    <t>Bow-tie analysis is a method to assess the utility of implemented controls against a particular risk event. It involves centering the unwanted risk event within a diagram. On the left, the factors that can cause the event are listed, followed by the controls that will prevent or minimize the likelihood of the event. On the right, the event is assumed to happen, and the potential effects and the relevant post-hoc controls that could minimize their impact are listed [107].
For example, given a hazard where an AI model has the capability of generating potentially harmful outputs, a risk event may be an AI providing information on how to create dangerous bioweapons. The risk factors could include the use of dangerous data for training as well as a lack of fine-tuning prior to deploy- ment. The risk effects may include creation and use of bioweapons using the AI generated information. Once these risk factors and risk effects are in place, both preventive controls and post-hoc controls can be planned, such as appropriate filtering of training data and rigorous red teaming prior to model deployment as preventive barriers, as well as know-your-customer policies and model output censoring techniques as reactive barriers.</t>
  </si>
  <si>
    <t>A0965_Gipiškis2024</t>
  </si>
  <si>
    <t>System-theoretic process analysis (STPA)</t>
  </si>
  <si>
    <t>STPA is a method to assess the utility of implemented controls against a partic- ular risk within a complex system. Unlike bow-tie analysis, STPA factors in the interactions between components as events that can cause the risk in question [107]. First, the system and its boundaries to the environment are defined. The sys- tem is primarily delineated from the environment because there is at least some partial control over it. Second, several items are enumerated, including (i) un- wanted risk events (“losses”), (ii) system states that cause losses (“system-level hazards”), and (iii) system states that do not cause losses (“system-level con- straints”). Third, a diagram mapping the system, environment, their different controls, and the interactions between these elements is created. This diagram must be comprehensive in listing the different losses and possible interactions that can cause each loss. Finally, the diagram can be used to identify “unsafe control actions” (UCAs), which are the causal pathways between a control and system-level hazards, including all interactions involved.
For example, in the context of text-to-image models, losses may include ‘loss of diversity’ and ‘loss of quality’; hazards may include ‘low quality text-image pairs within training dataset’ and ‘harmful content within training dataset’; and the controls may include human controllers and automated controllers (e.g., annotators, data owners, data crawlers) [165]. Subsequent analysis may result in identification of UCAs such as ‘current data filtering actions’ and neglecting current filter thresholds’ which are linked to specific hazards. Specific actions that counter or prevent such UCAs can reduce the associated losses.</t>
  </si>
  <si>
    <t>A0966_Gipiškis2024</t>
  </si>
  <si>
    <t>Risk matrices</t>
  </si>
  <si>
    <t>A risk matrix is a method for risk evaluation. It is a heatmap that, for each cell, shows the severity score weighted by the likelihood score of a particular risk, usually from a scale of 1-5. Two rankings are required to construct a risk matrix: a ranking for the severity of risks, and a corresponding ranking of the likelihood of risks [107].
AI-related risks can be generated using appropriate taxonomies, and placed into the relevant cells according to their assessed likelihood and severity based on predefined criteria (e.g., likelihood level 1 corresponds to &lt; 1% chance, and likelihood level 5 corresponds to &gt; 90% chance; while severity level 1 corresponds to mild inconveniences to the user, and severity level 5 corresponds to a fatality or financial damage upwards of $10 million, etc.), such that particular focus can be given to mitigating risks with higher weighted scores (i.e., likelihood multiplied by severity).</t>
  </si>
  <si>
    <t>A0967_Gipiškis2024</t>
  </si>
  <si>
    <t>Pre-allocate sufficient resources for risk man- agement</t>
  </si>
  <si>
    <t>The process of conducting thorough risk management is potentially time-con- suming. Pre-allocating sufficient resources, in terms of personnel count and schedule allowances, to conduct necessary risk management activities prior to model deployment is crucial [6].
For example, a red-teaming exercise requires creative approaches to identify weaknesses of the AI system against potential adversaries, which alone may require hundreds of hours from several experts.</t>
  </si>
  <si>
    <t>A0968_Gipiškis2024</t>
  </si>
  <si>
    <t>Staged release of model weights</t>
  </si>
  <si>
    <t>When a model is developed by a provider for use in a certain AI system, it may also be useful to release the model itself more widely. Such developers can follow a staged release approach, in which they first grant access to the model via an API to trusted partners or the public, in order to scope the models’ capabilities and detect harmful or dangerous features [195].
After a period of an initial closed release and potentially further safety-training, the developers of the AI model can then release the weights, if they are confident that the AI model poses minimal systemic risk.</t>
  </si>
  <si>
    <t>Gradual or incremental monitored release of model access</t>
  </si>
  <si>
    <t>AI systems can be released for access incrementally, starting with a small and selected deployer base before progressively being released to a wider user base. Initially, usage to a hosted API can be restricted with access given to specific deployers only, where all instances of the system can be easily updated or de- commissioned with minimal disruption should there be any problems identified. Gradual releases provide more time to monitor for vulnerabilities and other problems. Even when such vulnerabilities are detected, the resulting harms may be more limited compared to a scenario in which a more capable version is released with the same vulnerabilities [195].</t>
  </si>
  <si>
    <t>A0970_Gipiškis2024</t>
  </si>
  <si>
    <t>Limit deployment scope</t>
  </si>
  <si>
    <t>AI models can be restricted in terms of its use cases, where providers can require the deployers to limit its deployment to a predefined scope [81], such that models built for specific purposes and tested under specific environments are not used in environments or for purposes that are potentially unsafe.</t>
  </si>
  <si>
    <t>A0971_Gipiškis2024</t>
  </si>
  <si>
    <t>Restricted usage terms for open-source models</t>
  </si>
  <si>
    <t>Developers of open-weights and open-source AI models can vet and restrict the users of their AI systems by requiring them to sign a Terms of Service agreement before getting access to the model weights. Such agreements can include limitations to the usage, modification, and proliferation of the AI model [88].
Such agreements have the advantage that users only need to be vetted once before getting model access, but are often limited in practice in preventing unauthorised use or distribution.</t>
  </si>
  <si>
    <t>A0972_Gipiškis2024</t>
  </si>
  <si>
    <t>Release strategy disagreement between developers</t>
  </si>
  <si>
    <t>Developers of restricted-access models with similar capabilities may disagree about the strategy or precautions to take for model release, especially in the case of competitive pressure or minimal safety regulation oversight. In such a case, if only a single developer releases an equally capable model unrestricted, malicious actors can use it instead of restricted-access alternatives [88].</t>
  </si>
  <si>
    <t>A0973_Gipiškis2024</t>
  </si>
  <si>
    <t>Pop-up interventions in LLMs</t>
  </si>
  <si>
    <t>Supplementary information can be shown to the user in specific query topics where factual accuracy is critical. This intervention can effectively divert users from potential inaccuracies generated by AI models in sensitive contexts. For example, during electoral processes, where model hallucinations can be particu- larly costly or have a negative impact on society, LLMs can offer their users the option of being redirected to accurate and up-to-date information sources [11].
Since pop-up interventions can be intrusive to workflows, they are best used in situations where the benefits of the information outweigh the cost of distraction.</t>
  </si>
  <si>
    <t>AI identifiers can be used to indicate that an AI is involved in a process or an interaction [40].
For AI systems that interact directly with users, a visible output may be used, e.g., a displayed text message saying “I am an AI language model”, accompanied with the appropriate warnings and caveats relevant to the user, [40]. Whereas, for AI systems that interact with other systems or applications, other forms of watermark or unique identifiers can be used. In either situation, agent cards can serve as an identifier, where further details about the underlying AI system, the specific instance of the AI agent, and other information relevant to the development of the agent, can be included.</t>
  </si>
  <si>
    <t>A0975_Gipiškis2024</t>
  </si>
  <si>
    <t>AI output watermaking</t>
  </si>
  <si>
    <t>Output produced by or with AI assistance can be marked to clearly identify its origin. Verification of the watermark can involve the use of statistical tests or having the mark immediately visible to a human inspector. Ideally, the watermark does not significantly alter the utility of the output, and is robust against digital and physical manipulation that results in data degradation [216, 145].</t>
  </si>
  <si>
    <t>A0976_Gipiškis2024</t>
  </si>
  <si>
    <t>AI output metadata</t>
  </si>
  <si>
    <t xml:space="preserve">Output produced or whose production is aided by AI can contain metadata to record its origin and the transformations it has undergone. Metadata is evidence that subsequent versions or its derivatives come from this original version. The metadata can include the original AI model source, along with ownership, and its subsequent edits [169]. For example, an image produced by an AI model can contain metadata showing the date of creation and the AI model that produced it. Subsequent versions can reference this information and, if they are intermediary versions, can include descriptions of any editing that has taken place.
</t>
  </si>
  <si>
    <t>A0977_Gipiškis2024</t>
  </si>
  <si>
    <t>Monitoring of model capabilities</t>
  </si>
  <si>
    <t>AI models are often trained to develop specific capabilities by using appropriate training data and training goals. However, models may develop capabilities that they were not specifically trained for. One subset of this is emergent capabilities, i.e., capabilities that emerged in larger models but not smaller models given a similar training process [215].
These capabilities can be monitored, allowing models to be tested not only for their intended capabilities but also for capabilities that are not intended.</t>
  </si>
  <si>
    <t>A0978_Gipiškis2024</t>
  </si>
  <si>
    <t>AI model-assisted oversight of AI systems</t>
  </si>
  <si>
    <t>AI model-assisted oversight can help monitor and supervise the training of increasingly capable GPAI systems, which may become difficult to oversee at scale by human supervisors during training or testing. Monitoring and supervision may become especially difficult in cases where increasingly advanced GPAIs perform near or above human level in some specialized domains, where supervision quality might fail to keep pace with capabilities improvement. The training signal may include labeled data, reward function, and user feedback on produced outputs. Currently, there are two broad approaches to provide scalable training signals to such systems:
1. Scalable oversight: Improving of the supervisor’s capabilities to supervise, such that they can provide accurate training signals quickly and at scale [31].
For example, a debate format can be used between two GPAI systems (two instances of the same GPAI, or similarly capable systems). A Human supervisor judges the debate, making it easier to assess correct responses in domains which might otherwise require significant time investment of domain specific expertise [102].
2. Weak-to-strong generalization: Enhance the training signals while ensur- ing that the enhanced signal remains faithful to the intentions of the orig- inal human-provided signal [37].
For example, a hierarchical (“bootstrapping”) oversight approach can be implemented: A series of GPAI models with increasing capabilities are used, where each model in the hierarchy provides oversight for the next more capable model. The least capable model at the base of the hierarchy is the only one directly overseen by human supervisors, as it is easier to oversee than the more capable models.</t>
  </si>
  <si>
    <t xml:space="preserve"> Post-deployment ongoing monitoring for unexpected use cases</t>
  </si>
  <si>
    <t>Ongoing monitoring of AI systems can uncover emergent or newly identified capabilities and limitations, in particular when new use cases are found, or in a large-scale deployment with a diverse population of users. These new capa- bilities or limitations can inform ongoing risk analysis. New use-cases can be discovered via monitoring publications, online forums, or APIs [131].
For example, a LLM might have unexpectedly high competence at giving con- vincing medical advice, despite not being directly developed for that purpose, nor verified for accuracy. In that case, the potential risks of this newly found competence can be assessed.</t>
  </si>
  <si>
    <t>A0980_Gipiškis2024</t>
  </si>
  <si>
    <t>Monitoring protocols for po- tentially adversarial GPAI systems</t>
  </si>
  <si>
    <t xml:space="preserve">Similar to cybersecurity protocols, AI providers can prepare in advance for po- tential adversarial action from AI systems by developing and stress-testing protocols for potential adversarial action [179]. Such adversarial action may range from hiding code exploits, to strategic deception or loss of control related be- haviors.
AI systems may be adversarial due to malicious actors (e.g., data poisoning), or due to unintended issues of control (lack of alignment with human intent). Alongside improving the system alignment, external monitoring and restrictions may be deployed in advance to “catch” these adversarial model malfunctions before harm is done.
Like with cybersecurity red teaming, any protocol which assumes adversarial action can be stress tested in advance. For example, this can be done by pro- jecting the plausible capabilities and affordances of the adversarial actor (e.g., in the case of a tech company - a hacker, or a disgruntled employee). From this process, measures that better anticipate possible adversarial action can be deployed, and catch unsuccessful attempts at adversarial behavior.
If such unsuccessful attempts are caught, they can be reported in incident re- ports, and serve as an input to further risk analysis. Depending on their severity, it may be advisable to recall the system if deployed. Examples of these protocols include [84]:
• Flagging of suspicious frontier AI system code generation for human over- sight, with the help of better proven (“trusted”) AI systems or automated keyword detection.
• Using a better proven (“trusted”) AI system to edit the code produced by a frontier AI system if suspicious.• Monitoring of AI system with another instance of this same system, with filters to prevent collusion.
• Restriction of access of the AI system to private information.
</t>
  </si>
  <si>
    <t>A0981_Gipiškis2024</t>
  </si>
  <si>
    <t>Encouraging downstream provider to evaluate models for deployment-specific failure modes</t>
  </si>
  <si>
    <t>In some cases, AI system deployers are better positioned to perform certain risk management measures on the AI model in a provided AI system, relative to upstream model providers. For example, they understand their use case better and are more easily able to predict foreseeable misuse or failure modes. These evaluations can inform upstream model providers, or inform supplementary mitigations by the deployer.</t>
  </si>
  <si>
    <t>Encourage reporting of critical vulnerabilities to the upstream provider or other relevant stakeholders</t>
  </si>
  <si>
    <t>Downstream AI system deployers can report critical vulnerabilities or incidents to the upstream model provider and other relevant regulators. This can con- tribute to safe use, and allow other downstream deployers to be informed about any potential problems.</t>
  </si>
  <si>
    <t>Least Privilege access</t>
  </si>
  <si>
    <t>Deployers of an AI system can restrict its permissions to a whitelisted set of pre- determined options, such that all options not on the whitelist are not accessible to the AI [200, 146].
The entries on the whitelist can be chosen to be as small as possible for the AI system to fulfill its intended purpose, to reduce the attack surface of external attackers, and to decrease the probability that the AI system accidentally takes actions with large unintended side-effects.
For example, such whitelisting can apply to network connections, execution of other programs, access to knowledge bases, and the action space of the AI system. It can be implemented through running the AI system on an OS-level virtualization, on networks behind a firewall, and in extreme cases on air-gapped machines.</t>
  </si>
  <si>
    <t>A0984_Gipiškis2024</t>
  </si>
  <si>
    <t>Protect proprietary or unreleased AI model ar- chitecture and parameters</t>
  </si>
  <si>
    <t>The developers of AI models can invest in cybersecurity to prevent compute re- sources, training source code, model weights, and other critical resources from being accessed and copied by unauthorized third parties (e.g., through insider threats or supply chain attacks).
Access to model source code and weights can be restricted through an access control scheme, such as role-based access control. If access to model outputs by third parties is required, it can be provided through an API. Air gaps can block unauthorized remote access. In the case of necessary interaction with an external network, network bandwidth limitations can also be enforced to increase the detection window of potential breaches [108].</t>
  </si>
  <si>
    <t>A0985_Gipiškis2024</t>
  </si>
  <si>
    <t>Hardware limitations on data center network connections</t>
  </si>
  <si>
    <t>Hardware-enforced bandwidth limitations on data center network connections can protect AI model weights from unauthorized access or exfiltration, by lim- iting the speed of model weight access on the connections between data centers and the outside world.
Such limitations can be put in place in multiple ways, for example by only constructing connections with a specific bandwidth. The output rate on all data channels can be set low enough that copying the weights is possible in principle (e.g., to enable regular backups), but would take so long that an unauthorized exfiltration of the weights could be detected and prevented.
Such rate-limiting is only effective if it applies to all output connections for all storage locations on which the weights of the model are stored [139].</t>
  </si>
  <si>
    <t>A0986_Gipiškis2024</t>
  </si>
  <si>
    <t>Structured access to a model</t>
  </si>
  <si>
    <t>Structured access refers to methods which limit users’ or deployers’ direct access to a model’s parameters by constraining access to a model through a centralized access point (e.g., an API) [88]. This access point can be monitored for usage, and access can be revoked to users or downstream deployers in cases of misuse [105].
Within this centralized access point, automated filtering-based monitoring can be done on both inputs and outputs to ensure the model’s intended use is pre- served [36]. This filtering can sometimes be supplemented by human oversight, depending on desired robustness levels.</t>
  </si>
  <si>
    <t>Sandboxing of AI Systems</t>
  </si>
  <si>
    <t>AI systems can be developed and tested within a sandbox, (a secure and iso- lated environment used for separating running programs), such that outside access to information within the sandbox is restricted. Within this environ- ment, resources such as storage and memory space, and network access, would be disallowed or heavily restricted [15]. With sandboxing, dangerous or harmful outputs generated during testing will be contained.</t>
  </si>
  <si>
    <t>A0988_Gipiškis2024</t>
  </si>
  <si>
    <t>Redundant systems not reliant on GPAI</t>
  </si>
  <si>
    <t>Redundant systems provide continuation of a given system’s processes in case of failure of the given system. Importantly, redundant systems should not rely on the factors that caused the original system to fail in the first place, which can include an AI system [47].
For example, if an AI system is incorporated into the landing gear system of an aircraft, such as during autonomous control of the aircraft, redundant systems in the form of mechanical or hydraulic mechanisms must be present to allow for deployment of the landing gear in case of AI system failure.</t>
  </si>
  <si>
    <t>A0989_Gipiškis2024</t>
  </si>
  <si>
    <t>Diverse data labeling and algorithm fairness audits</t>
  </si>
  <si>
    <t>To mitigate biases in AI models, model providers may want to prioritize di- versity among data labelers and conduct regular fairness audits on their algo- rithms. Data labeling teams that represent different backgrounds and demo- graphic groups can help create more balanced datasets.</t>
  </si>
  <si>
    <t>A0990_Gipiškis2024</t>
  </si>
  <si>
    <t>Debiasing methods</t>
  </si>
  <si>
    <t>Providers of AI models can apply techniques to reduce the biases of their models.
Current debiasing methods focus on three main types of bias:
• Racial and religious bias - Stereotypes based on religious beliefs or racial beliefs.
• Gender bias - Stereotypes tied to gender roles and expectations.
• Political and cultural bias - Propagation of dominant ideologies or extrem-
ist attitudes.
Debiasing methods can be categorized based on their application during AI development:
• Data pre-processing - Removing or correcting unwanted and biased data, and augmenting quality data to offset data bias, such as rebalancing datasets with counterfactual data augmentation.
• During training - Intervening on the training dynamics of the AI model, such as introducing debiasing terms in the objective function or by nega- tively reinforcing biased outputs.
• Post-training - Applying techniques to correct a trained but biased model, such as modifying the embedding space.</t>
  </si>
  <si>
    <t>A0991_Gipiškis2024</t>
  </si>
  <si>
    <t>Knowledge unlearning techniques</t>
  </si>
  <si>
    <t>Knowledge unlearning techniques allow specific information to be “forgotten” without the need for retraining the entire model, preserving its general capabil- ities. These techniques can be used to reduce privacy risks and protect against copyrighted or harmful content [96, 188].</t>
  </si>
  <si>
    <t>A0992_Gipiškis2024</t>
  </si>
  <si>
    <t>Differential privacy</t>
  </si>
  <si>
    <t>Differential privacy techniques [8] can be used to protect users’ privacy by ensuring that sensitive information is not leaked from a training dataset, even after thorough statistical analysis. With differential privacy, noise is added to the dataset or the model’s output in such a way that one cannot deduce the presence or absence of a particular data point within the dataset. This provides individuals with plausible deniability and prevents their information from being exposed.</t>
  </si>
  <si>
    <t>A0993_Gipiškis2024</t>
  </si>
  <si>
    <t>Quantifying privacy risks of AI models</t>
  </si>
  <si>
    <t>Measuring privacy risks of an AI model allows the provider and user to calibrate their expectations on where the model can be applied, and it allows them to take the necessary steps to reduce such risks.
For example, some metrics include:
• Success rate of membership inference attacks [186] - Measures the rate that an attack correctly predicts a given record is part of the training dataset used to train a given AI model.
• Discoverable memorization [38] - Theoretical upper-bound of the amount of training data that a given model memorizes. Assuming full knowledge of the training data, it measures the percentage of items that, for a given incomplete data point, a model outputs the remaining (memorized) part.</t>
  </si>
  <si>
    <t>A0994_Gipiškis2024</t>
  </si>
  <si>
    <t>More energy-efficient models or techniques</t>
  </si>
  <si>
    <t>Deploying more energy-efficient models can reduce their environmental impact. Different model architectural choices result in varying environmental costs, and identifying and adopting more energy-efficient options can result in significant environmental savings, especially when implemented at scale. Consideration should be given to both training energy usage, and deployment (“inference”) usage for the expected model lifecycle.</t>
  </si>
  <si>
    <t>A0995_Gipiškis2024</t>
  </si>
  <si>
    <t>Disclosure of energy consumption by AI systems to authorities</t>
  </si>
  <si>
    <t>Disclosures can direct more necessary attention and scrutiny to projects that consume significant energy. Disclosure involves releasing a summary of key details of the energy consumption of the AI system by all users, including the compute resources used, the amount of power consumed, the measures to reduce excess energy consumption that were in place, and energy sources [133].</t>
  </si>
  <si>
    <t>A0996_Gipiškis2024</t>
  </si>
  <si>
    <t>Using low carbon intensity energy grids</t>
  </si>
  <si>
    <t>Moving model training to energy grids with low carbon intensity can reduce the negative environmental impact [30]. The efficiency of energy grids can vary greatly depending on location. Models can be trained in different locations, as latency is not an issue.</t>
  </si>
  <si>
    <t>A0997_Gipiškis2024</t>
  </si>
  <si>
    <t>Red team access to the final version of a model pre-deployment</t>
  </si>
  <si>
    <t xml:space="preserve">Granting red teams access to the final pre-release version of the model can help with identifying potentially dangerous model properties. These properties might not be identified if red teaming is only performed on earlier versions of the model, as late fine-tuning procedures may introduce new vulnerabilities.
Red-teaming AI models before they are released to the public can reduce the model non-decomissionability risk. The model’s release can be postponed or even prevented if previously unidentified flaws are detected during the testing [65].
</t>
  </si>
  <si>
    <t>A0998_Gipiškis2024</t>
  </si>
  <si>
    <t>Red teaming for GPAI system evaluation</t>
  </si>
  <si>
    <t>Red teaming refers to simulated adversarial attacks performed to identify and evaluate the model’s vulnerabilities as well as its in-domain and out-of-domain performance.</t>
  </si>
  <si>
    <t>A0204; A0011; A0821;</t>
  </si>
  <si>
    <t>A0204_Schuett2023 Red teaming (0,19); A0011_Bengio2025 Red Teaming (0,16); A0821_UK Government2023 Model Robustness to Adversarial Attacks (0,15)</t>
  </si>
  <si>
    <t>A0999_Gipiškis2024</t>
  </si>
  <si>
    <t>Dynamic benchmarking</t>
  </si>
  <si>
    <t>Dynamic benchmarks are benchmarks that can be continuously updated with new human-generated data. By having one or more target models “in the loop,” examples for benchmarking can be generated with the intent of fooling these target models, or to assess if these models express an appropriate level of uncer- tainty [103]. As the dataset in the benchmark grows, previously benchmarked models can also be reassessed against the updated dataset to reflect its perfor- mance in a more representative manner.
Examples of such dynamic benchmarks include DynaSent [153] for sentiment analysis, LFTW [208] for hate speech, and Human-Adversarial VQA [182] for images.</t>
  </si>
  <si>
    <t>A1000_Gipiškis2024</t>
  </si>
  <si>
    <t>Benchmark dataset auditing</t>
  </si>
  <si>
    <t>Auditing benchmark datasets allows for verification of the utility and limitations of the datasets [158]. This allows the provider to more accurately measure AI model capabilities and safety. Auditing includes the evaluation of such datasets by independent third-party organizations and the release of benchmark dataset metadata to the auditors.</t>
  </si>
  <si>
    <t>A1001_Gipiškis2024</t>
  </si>
  <si>
    <t>Informative and powerful benchmarks</t>
  </si>
  <si>
    <t>Developers of GPAI systems can select benchmarks that are difficult enough to be informative about the capabilities of their AI systems, and cover a large spec- trum of domains in order to signal areas where the GPAI system is performing poorly [120].
Suitable benchmarks contain no label errors, are not vulnerable to being bench- mark contaminants, and are often audited by independent domain experts if they contain domain-specific questions. For multimodal GPAI systems, good benchmarks cover every modality, especially the interaction of different modalities.</t>
  </si>
  <si>
    <t>A1002_Gipiškis2024</t>
  </si>
  <si>
    <t>Statistical data quality reports for benchmarks</t>
  </si>
  <si>
    <t>If a benchmark dataset is too large to allow for the identification and removal of all flawed instances, statistical reports on the data composition can be added. Random sampling of benchmark data points can be performed to evaluate and report the frequency and types of errors found [54].</t>
  </si>
  <si>
    <t>A1003_Gipiškis2024</t>
  </si>
  <si>
    <t>Avoiding benchmark data with publicly avail- able solutions and releasing contextual information for internet-derived data</t>
  </si>
  <si>
    <t>Evaluators can improve the integrity of benchmarks by avoiding data with pub- licly available solutions. When using internet-derived data, supplementing it with contextual information (such as entity linking) may help to better docu- ment and assess the integrity of the collected data [95]. This could help in de- tecting instances where contextual information (which may have been included in the training data) might inadvertently reveal details about the solution, en- suring that the data is suitable for accurate benchmarking.</t>
  </si>
  <si>
    <t>A1004_Gipiškis2024</t>
  </si>
  <si>
    <t>Reporting data decontamination efforts</t>
  </si>
  <si>
    <t>Decontamination analysis may involve comparing the training dataset with the benchmark data, and publishing a report with statistics such as data overlap [235]. Especially for already trained models, including contamination statistics can allow experts to reweigh the success of the model on affected benchmarks.</t>
  </si>
  <si>
    <t>A1005_Gipiškis2024</t>
  </si>
  <si>
    <t>Tracking benchmark leakage</t>
  </si>
  <si>
    <t>Constant monitoring and documentation of benchmark leakage can help with the early detection of benchmark leaks [224, 95].</t>
  </si>
  <si>
    <t>A1006_Gipiškis2024</t>
  </si>
  <si>
    <t>Preventing or mitigating data contamination and leakage</t>
  </si>
  <si>
    <t>Developers of GPAIS and creators of benchmarks can take actions to prevent AI models from being trained on contaminated or leaked data, or mitigate such data contamination and leakage.
For example, developers of AI models can try to find and remove contaminated or leaked data from the training corpus, and creators of benchmarks can help them by adding globally unique “canary strings” to the documents containing their benchmarks, which makes them easier to find [197]. More involved inter- ventions by benchmark-creators include restricting access to benchmarks over an API, or continually updating benchmarks to focus on recent data.</t>
  </si>
  <si>
    <t>A1007_Gipiškis2024</t>
  </si>
  <si>
    <t>Contamination detection</t>
  </si>
  <si>
    <t>Contamination detection refers to techniques for assessing whether and to what extent a given model has benchmark data in its training dataset [161, 170]. This can involve a set of technical and regulatory interventions to prevent or identify a model trained on contaminated data.
For example, with web-crawled data, contamination detection can involve com- paring the data’s web sources against a dynamic, publicly available blocklist of websites known to generate new benchmarks. Additional measures may in- clude excluding data with improper metadata from the training dataset and conducting overlap analyses between the training data and all known standard benchmark datasets.</t>
  </si>
  <si>
    <t>A1008_Gipiškis2024</t>
  </si>
  <si>
    <t>Frequent benchmarking to identify when red teaming is needed</t>
  </si>
  <si>
    <t xml:space="preserve">Benchmarks, once created, are inexpensive to apply but may be less informative than red teaming. One reason is that sensitive data (e.g., relating to CBRN- related capabilities) cannot be included in the public questions and answers of benchmarks. On the other hand, red teaming can be more accurate given par- ticipants with diverse attack strategies, but it requires more resources to execute than benchmarking. If there is a correlation between benchmarking and red- teaming scores, then employing frequent benchmarking during the development of the model can identify arising vulnerabilities and inform the developers when more thorough red teaming is required [21].
Benchmarks can act as early warning signs of a larger issue, and red teaming can then be employed to investigate the severity and extent of such an issue.
</t>
  </si>
  <si>
    <t>A1009_Gipiškis2024</t>
  </si>
  <si>
    <t>Test robustness of GPAI system on relevant benchmarks</t>
  </si>
  <si>
    <t>Various benchmarks [52, 236] have been developed to assess the robustness of GPAI systems when deployed in environments or scenarios that differ from their training conditions. These benchmarks typically evaluate the model’s ability to handle variations in inputs, unexpected data distributions, or adversarial examples, aiming to ensure reliable performance outside the original training domain.</t>
  </si>
  <si>
    <t>A1010_Gipiškis2024</t>
  </si>
  <si>
    <t>Benchmarking</t>
  </si>
  <si>
    <t>Benchmarking is an evaluation method where different models are compared against a standardized dataset or a predetermined task. It allows comparison both across different models and over time, providing a reference point for model assessment. Benchmarks are usually open, where their question-answer pairs are publicly available [235].</t>
  </si>
  <si>
    <t>A1011_Gipiškis2024</t>
  </si>
  <si>
    <t>GPAI models explaining model outputs in a zero-sum debate game</t>
  </si>
  <si>
    <t>Debate is a technique that aims to produce reliable explanations of AI model outputs that are too complicated for humans to understand, by letting two GPAI models role-playing in a debate produce an explanation in a dialogue [102].
For example, an AI model may produce an output which is time-consuming for humans to verify as doing so may require going through extensive sources.
Given such an output, the developer can use two natural language AI systems in an adversarial two-player setup to explain the output. These two natural language AI systems can be copies of the AI model that produced the output.
In this setup, one AI system gives a short explanation of the output. The second AI system responds to this explanation with a counter-explanation or an argument why the first explanation was not correct. This continues for a fixed number of turns, with the two AI systems pointing out inconsistencies in each others’ explanations.
After this sequence of statements, a human or an AI judge evaluates the ex- planations of both AI systems to determine which one is more convincing. The results of this debate can then be used for further training of the models via reinforcement learning, where outputs that are more truthful and convincing arguments and explanations are positively reinforced, while misleading or false outputs are negatively reinforced.</t>
  </si>
  <si>
    <t>A1012_Gipiškis2024</t>
  </si>
  <si>
    <t>Using an AI model to evaluate AI model outputs</t>
  </si>
  <si>
    <t>In cases where the outputs of AI models cannot be easily evaluated, AI mod- els can be used to evaluate their outputs or the outputs of other AI models [82, 16, 17, 91]. The evaluations can then provide a training signal to improve the original model’s performance or offer explanations of the output for human users.</t>
  </si>
  <si>
    <t>A1013_Gipiškis2024</t>
  </si>
  <si>
    <t>Frequent testing when scaling model or dataset</t>
  </si>
  <si>
    <t>Testing models after significant increases in compute, data, or model parame- ters. Even relatively small changes to model or dataset size can introduce new properties (“emergent abilities”) and failure modes. Identifying them early can prevent the models from being released prematurely</t>
  </si>
  <si>
    <t>A1014_Gipiškis2024</t>
  </si>
  <si>
    <t>Tamper-resistant safeguards for open-weight models</t>
  </si>
  <si>
    <t>Training and implementing safeguards can improve the robustness of open- weight models against modifications from fine-tuning or other methods to change the learned weights of the models, especially those aimed at removing safety re- strictions. These safeguards can be resilient even after extensive fine-tuning, ensuring that the model retains its protective measures [199].</t>
  </si>
  <si>
    <t>A1015_Gipiškis2024</t>
  </si>
  <si>
    <t xml:space="preserve">Robustness Certificates </t>
  </si>
  <si>
    <t>A model can be certified to withstand adversarial attacks given specific data- point constraints, model constraints, and attack vectors [156, 124]. Certification means that it can be both analytically proven and shown empirically that the model will withstand such attacks up to a certain threshold. Currently, robustness certification methods are limited to certifying against at- tacks via manipulation of pixels on specific lp norms, canonically the l2 (Eu- clidean) norm, up to a certain neighborhood radius.</t>
  </si>
  <si>
    <t>A1016_Gipiškis2024</t>
  </si>
  <si>
    <t>Documentation of data collection, annotation, maintenance practices</t>
  </si>
  <si>
    <t>Dataset collection, annotation, and maintenance processes can be documented in detail, including potential unintentional misuse scenarios and corresponding recommendations for data usage [80, 175, 99]. This contributes to transparency, ensures that inherent dataset limitations are known in advance, and helps in selecting the right datasets for intended use cases.</t>
  </si>
  <si>
    <t>A0001_Bengio2025</t>
  </si>
  <si>
    <t>Audits</t>
  </si>
  <si>
    <t xml:space="preserve">A formal review of an organisation’s compliance with standards, policies, and procedures, typically carried out by an external party.
AI auditing is a rapidly growing field, but builds on long histories of auditing in other fields, including financial, environmental, and health regulation. </t>
  </si>
  <si>
    <t>A0002_Bengio2025</t>
  </si>
  <si>
    <t>Benchmarks</t>
  </si>
  <si>
    <t>A standardised, often quantitative test or metric used to evaluate and compare the performance of AI systems on a fixed set of tasks designed to represent real- world usage</t>
  </si>
  <si>
    <t>A0003_Bengio2025</t>
  </si>
  <si>
    <t>Bowtie Method</t>
  </si>
  <si>
    <t xml:space="preserve">A technique for visualising risk quantitatively and qualitatively, providing clear differentiation between proactive and reactive risk management, intended to help prevent and mitigate major accident hazards.
Oil companies and national governments use the bowtie method. </t>
  </si>
  <si>
    <t>A0004_Bengio2025</t>
  </si>
  <si>
    <t>Defence in Depth</t>
  </si>
  <si>
    <t xml:space="preserve">The idea that multiple independent and overlapping layers of defence can be implemented such that if one fails, others will still be effective.
An example comes from the field of infectious diseases, where multiple preventative measures (e.g. vaccines, masks, hand washing) can layer to reduce overall risk. </t>
  </si>
  <si>
    <t>A0005_Bengio2025</t>
  </si>
  <si>
    <t>There are numerous documentation best practices, guidelines, and requirements for AI systems to track e.g. training data, model design and functionality, intended use cases, limitations, and risks.
Model cards’ and ‘system cards’ are examples of prominent AI documentation standards</t>
  </si>
  <si>
    <t>A0050</t>
  </si>
  <si>
    <t>A0050_Eisenberg2025 Establish AI system documentation framework (0,20)</t>
  </si>
  <si>
    <t>A0006_Bengio2025</t>
  </si>
  <si>
    <t>Engagement with Relevant Experts and Communities</t>
  </si>
  <si>
    <t xml:space="preserve">Domain experts, users, and impacted communities have unique insights into likely risks.
There are emerging guidelines for participatory and inclusive AI. </t>
  </si>
  <si>
    <t>A0007_Bengio2025</t>
  </si>
  <si>
    <t>If-Then Commitments</t>
  </si>
  <si>
    <t xml:space="preserve">A set of technical and organisational protocols and commitments to manage risks at varying levels as AI models become more capable.
Some companies developing general- purpose AI employ these types of commitments as responsible scaling policies or similar frameworks. </t>
  </si>
  <si>
    <t>A0008_Bengio2025</t>
  </si>
  <si>
    <t>Impact Assessment</t>
  </si>
  <si>
    <t xml:space="preserve">A tool used to assess the potential impacts of a technology or project.
The EU AI Act requires developers of high- risk AI systems to carry out Fundamental Rights Impact Assessments. </t>
  </si>
  <si>
    <t>A0115</t>
  </si>
  <si>
    <t>A0115_Future of Life Institute2024 Fundamental Rights Impact Assessments (0,29)</t>
  </si>
  <si>
    <t>A0009_Bengio2025</t>
  </si>
  <si>
    <t>Incident Reporting</t>
  </si>
  <si>
    <t xml:space="preserve">The process of systematically documenting and sharing cases in which developing or deploying AI has caused direct or indirect harms.
Incident reporting is common in many domains, from human resources to cybersecurity. It has also become more common for AI. </t>
  </si>
  <si>
    <t>A0010_Bengio2025</t>
  </si>
  <si>
    <t>Model Evaluation</t>
  </si>
  <si>
    <t xml:space="preserve">Processes to assess and measure an AI system's performance on a particular task.
There are countless AI evaluations to assess different capabilities and risks, including for security. </t>
  </si>
  <si>
    <t>A0789_UK Government2023 Model Evaluation of System Security (0,23)</t>
  </si>
  <si>
    <t>A0011_Bengio2025</t>
  </si>
  <si>
    <t>Red Teaming</t>
  </si>
  <si>
    <t xml:space="preserve">An exercise in which a group of people or automated systems pretend to be an adversary and attack an organisation’s systems in order to identify vulnerabilities.
</t>
  </si>
  <si>
    <t>A0204; A0998;</t>
  </si>
  <si>
    <t>A0204_Schuett2023 Red teaming (0,23); A0998_Gipiškis2024 Red teaming for GPAI system evaluation (0,16)</t>
  </si>
  <si>
    <t>A0012_Bengio2025</t>
  </si>
  <si>
    <t>Risk management frameworks</t>
  </si>
  <si>
    <t>Whole organisation frameworks to reduce gaps in risk coverage and ensure various risk activities (i.e. all of the above) are cohesively structured and aligned, risk roles and responsibilities are clearly defined, and checks and balances are in place to avoid silos and manage conflicts of interest.
In other safety critical industries, the Three Lines of Defence framework – separating risk ownership, oversight and audit – is widely used and can be usefully applied to advanced AI companies</t>
  </si>
  <si>
    <t>A0084</t>
  </si>
  <si>
    <t>A0084_Future of Life Institute2024 Adopted Risk Management Frameworks (0,18)</t>
  </si>
  <si>
    <t>A0013_Bengio2025</t>
  </si>
  <si>
    <t>Risk Register</t>
  </si>
  <si>
    <t xml:space="preserve">A risk management tool that serves as a repository of all risks, their prioritisation, owners, and mitigation plans. They are sometimes used to fulfil regulatory compliance.
Risk registers are a relatively standard tool used across many industries, including cybersecurity and recently AI. </t>
  </si>
  <si>
    <t>A0283; A0843;</t>
  </si>
  <si>
    <t>A0283_Campos2025 Risk Register (0,27); A0843_UK Government2023 Protective Security Risk Register (0,19)</t>
  </si>
  <si>
    <t>A0014_Bengio2025</t>
  </si>
  <si>
    <t>Risk Taxonomy</t>
  </si>
  <si>
    <t xml:space="preserve">A way to categorise and organise risks across multiple dimensions.
There are several well- known risk taxonomies for AI. </t>
  </si>
  <si>
    <t>A0015_Bengio2025</t>
  </si>
  <si>
    <t>Risk Thresholds</t>
  </si>
  <si>
    <t xml:space="preserve">Quantitative or qualitative limits that distinguish acceptable from unacceptable risks and trigger specific risk management actions when exceeded.
Risk thresholds for general- purpose AI are being determined by a combination of assessments of capabilities, impact, compute, reach, and other factors. </t>
  </si>
  <si>
    <t>A0625; A0656; A0140;</t>
  </si>
  <si>
    <t>A0625_Barrett2024 Risk-Tolerance Thresholds (0,20); A0656_Barrett2024 Risk Tolerance Thresholds (0,17); A0140_Future of Life Institute2024 Pre-specified risk tolerance (0,17)</t>
  </si>
  <si>
    <t>A0016_Bengio2025</t>
  </si>
  <si>
    <t>Risk Tolerance</t>
  </si>
  <si>
    <t>The level of risk an organisation is willing to take on.
 In AI, risks tolerances are often left up to AI companies, but regulatory regimes can help identify unacceptable risks that are legally prohibited</t>
  </si>
  <si>
    <t>A0625; A0140; A0656;</t>
  </si>
  <si>
    <t>A0625_Barrett2024 Risk-Tolerance Thresholds (0,23); A0140_Future of Life Institute2024 Pre-specified risk tolerance (0,19); A0656_Barrett2024 Risk Tolerance Thresholds (0,18)</t>
  </si>
  <si>
    <t>A0017_Bengio2025</t>
  </si>
  <si>
    <t>Safety Analysis</t>
  </si>
  <si>
    <t>Helps understand the dependencies between components and the system that they are part of, in order to anticipate how component failures could lead to system-level hazards.
This approach is used across safety- critical fields, e.g. to anticipate and prevent aircraft crashes or nuclear reactor core meltdowns</t>
  </si>
  <si>
    <t>A0018_Bengio2025</t>
  </si>
  <si>
    <t>Safety Cases</t>
  </si>
  <si>
    <t xml:space="preserve">Safety cases require developers to demonstrate safety. A safety case is a structured argument supported by evidence that a system is acceptably safe to operate in a particular context.
Safety cases are common in many industries, including defence, aerospace, and railways. </t>
  </si>
  <si>
    <t>A0019_Bengio2025</t>
  </si>
  <si>
    <t>Safety of The Intended Function</t>
  </si>
  <si>
    <t xml:space="preserve">An approach that requires engineers to provide evidence that a system is safe when operating as intended.
This approach is used in many engineering fields, such as in the construction and testing of road vehicles. </t>
  </si>
  <si>
    <t>A0020_Bengio2025</t>
  </si>
  <si>
    <t>Scenario Analysis</t>
  </si>
  <si>
    <t xml:space="preserve">Developing plausible future scenarios and analysing how risks materialise. Scenario analysis and planning are widely used across industries including for the energy sector and to address uncertainties of power systems. </t>
  </si>
  <si>
    <t>A0959</t>
  </si>
  <si>
    <t>A0959_Gipiškis2024 Scenario analysis (0,27)</t>
  </si>
  <si>
    <t>A0021_Bengio2025</t>
  </si>
  <si>
    <t>Threat Modelling</t>
  </si>
  <si>
    <t>A process to identify threats and vulnerabilities to a system. Threat modelling is commonly used to support AI security throughout AI research and development</t>
  </si>
  <si>
    <t>A0022_Bengio2025</t>
  </si>
  <si>
    <t>Whistleblower protection</t>
  </si>
  <si>
    <t xml:space="preserve">Whistleblowers can play an important role in alerting authorities to dangerous risks at AI companies due to the proprietary nature of many AI advancements.
Incentives and protections for whistleblowers are expected to be an important part of advanced AI risk governance. </t>
  </si>
  <si>
    <t>A0412; A1044; A0104;</t>
  </si>
  <si>
    <t>A0412_NIST2024 Whistleblower Protection (0,23); A1044_Uuk2024 Whistleblower protections (0,16); A0104_Future of Life Institute2024 Comprehensive whistleblower protection policy (0,16)</t>
  </si>
  <si>
    <t>A0023_Bengio2025</t>
  </si>
  <si>
    <t>Delphi Method</t>
  </si>
  <si>
    <t xml:space="preserve">A group decision-making technique that uses a series of questionnaires to gather consensus from a panel of experts.
The Delphi method has been used to help identify key AI risks. </t>
  </si>
  <si>
    <t>A0024_Bengio2025</t>
  </si>
  <si>
    <t>Responsible Release and Deployment Strategies</t>
  </si>
  <si>
    <t xml:space="preserve">There is a spectrum of release and deployment strategies for AI including staged releases, cloud- based or API access, deployment safety controls, and acceptable use policies.
There are some emerging industry practices that focus on release and deployment strategies for general- purpose AI. </t>
  </si>
  <si>
    <t>A0025_Bengio2025</t>
  </si>
  <si>
    <t>Risk Matrices</t>
  </si>
  <si>
    <t>A visual tool that helps prioritise risks according to their likelihood of occurrence and potential impact.
Risk matrices are used in many industries and for many purposes, such as by financial institutions for evaluating credit risk, or by companies to assess possible disruptions to their supply chains</t>
  </si>
  <si>
    <t>A0026_Bengio2025</t>
  </si>
  <si>
    <t>Safety by Design</t>
  </si>
  <si>
    <t>An approach that centres user safety in the design and development of products and services.
This approach is common across engineering and safety- critical fields including aviation and energy.</t>
  </si>
  <si>
    <t>A0276_Campos2025</t>
  </si>
  <si>
    <t>Classification of applicable known risks</t>
  </si>
  <si>
    <t>Developers should address known risks in the literature using resources such as (Weidinger et al., 2022) or the AI Risk Repository (Slattery, et al., 2024). Developers should only exclude risks from the scope of their assessment in case of scientific agreement that the specific risk is negligible or unlikely to apply to the AI model under consideration. This decision should be clearly justified and documented.</t>
  </si>
  <si>
    <t>A0277_Campos2025</t>
  </si>
  <si>
    <t>Identification of unknown risks</t>
  </si>
  <si>
    <t>In addition to risk identification based on the literature, developers should engage in extensive open-ended red teaming efforts, conducted both internally and by third parties.</t>
  </si>
  <si>
    <t>A0697; A0279;</t>
  </si>
  <si>
    <t>A0697_Barrett2024 Respond to Unknown Risks (0,20); A0279_Campos2025 Modeling of the risks (0,16)</t>
  </si>
  <si>
    <t>A0278_Campos2025</t>
  </si>
  <si>
    <t>Non-Interference with Third-Party Risk Findings</t>
  </si>
  <si>
    <t>Commit not to interfere with or suppress findings from third-party organizations, as their independent perspective is crucial to identify potential risks that may have been overlooked internally.</t>
  </si>
  <si>
    <t>A0279_Campos2025</t>
  </si>
  <si>
    <t>Modeling of the risks</t>
  </si>
  <si>
    <t>Based on risks identified in the literature and during open-ended red-teaming exercises, AI developers should create detailed scenarios mapping how an AI model’s capabilities or propensities could lead to real-world harms. These scenarios should break down complex risk pathways into discrete, measurable steps.</t>
  </si>
  <si>
    <t>A0277</t>
  </si>
  <si>
    <t>A0277_Campos2025 Identification of unknown risks (0,16)</t>
  </si>
  <si>
    <t>A0280_Campos2025</t>
  </si>
  <si>
    <t>Stakeholder Sharing of Risk Documentation</t>
  </si>
  <si>
    <t>The results of the risk modeling work should be well documented, including the methodologies used, the experts involved, and the list of identified scenarios. This documentation should be shared with relevant stakeholders</t>
  </si>
  <si>
    <t>A0281_Campos2025</t>
  </si>
  <si>
    <t>Risk Tolerance Threshold</t>
  </si>
  <si>
    <t>In the second step of the framework, AI developers need first to set a risk tolerance, that is, a risk level that they commit to not overshoot.</t>
  </si>
  <si>
    <t>A0625; A0656; A0282;</t>
  </si>
  <si>
    <t>A0625_Barrett2024 Risk-Tolerance Thresholds (0,27); A0656_Barrett2024 Risk Tolerance Thresholds (0,19); A0282_Campos2025 Operationalizing Risk Tolerance (0,19)</t>
  </si>
  <si>
    <t>A0282_Campos2025</t>
  </si>
  <si>
    <t xml:space="preserve"> Operationalizing Risk Tolerance</t>
  </si>
  <si>
    <t>AI developers must operationalize their risk tolerance. This means translating the risk tolerance into concrete indicators of the level of risk—Key Risk Indicators (KRIs)—and the corresponding targets for mitigations—Key Control Indicators (KCIs)—that have to be reached.</t>
  </si>
  <si>
    <t>A0281; A0625; A0656;</t>
  </si>
  <si>
    <t>A0281_Campos2025 Risk Tolerance Threshold (0,19); A0625_Barrett2024 Risk-Tolerance Thresholds (0,18); A0656_Barrett2024 Risk Tolerance Thresholds (0,16)</t>
  </si>
  <si>
    <t>A0283_Campos2025</t>
  </si>
  <si>
    <t>Throughout the risk management process, developers should maintain a continuously up-to-date risk register, which serves as the central repository for documenting and tracking all identified risks and their associated mitigation measures. This repository should include information like ownership, risk levels, indicators, mitigation status, and actionable response plans.</t>
  </si>
  <si>
    <t>A0013; A0843;</t>
  </si>
  <si>
    <t>A0013_Bengio2025 Risk Register (0,27); A0843_UK Government2023 Protective Security Risk Register (0,20)</t>
  </si>
  <si>
    <t>A0284_Campos2025</t>
  </si>
  <si>
    <t>Continuous Monitoring of Risk Controls</t>
  </si>
  <si>
    <t>Developers must therefore implement continuous monitoring of both KRIs and KCIs to ensure that KCI thresholds are met once KRI thresholds are crossed according to the predefined "if-then" statements established in the risk analysis and evaluation phase.</t>
  </si>
  <si>
    <t>A0285_Campos2025</t>
  </si>
  <si>
    <t xml:space="preserve"> Independent Third-Party Evaluations</t>
  </si>
  <si>
    <t>Independent third parties should vet evaluation protocols. These third parties should also be granted permission and resources to independently perform their evaluations, verifying the accuracy of the results.</t>
  </si>
  <si>
    <t>A0816</t>
  </si>
  <si>
    <t>A0816_UK Government2023 Sharing with Independent Third-Parties (0,16)</t>
  </si>
  <si>
    <t>A0286_Campos2025</t>
  </si>
  <si>
    <t>Decision-Making Executives</t>
  </si>
  <si>
    <t>Best practices from other industries include the establishment of clear risk ownership, with designated senior managers responsible for specific risks…</t>
  </si>
  <si>
    <t>A0332; A0333;</t>
  </si>
  <si>
    <t>A0332_Campos2025 Decision-Making Protocols (0,25); A0333_Campos2025 Separate Risk Ownership and Advisory Roles (0,16)</t>
  </si>
  <si>
    <t>A0332_Campos2025</t>
  </si>
  <si>
    <t>Decision-Making Protocols</t>
  </si>
  <si>
    <t>Senior management should have clear go/no-go decision protocols and rules to follow in their decision-making…</t>
  </si>
  <si>
    <t>A0286</t>
  </si>
  <si>
    <t>A0286_Campos2025 Decision-Making Executives (0,25)</t>
  </si>
  <si>
    <t>A0333_Campos2025</t>
  </si>
  <si>
    <t>Separate Risk Ownership and Advisory Roles</t>
  </si>
  <si>
    <t>The senior managers making risk decisions need to be distinct from those advising on the decisions, to avoid conflicts of interest</t>
  </si>
  <si>
    <t>A0286_Campos2025 Decision-Making Executives (0,16)</t>
  </si>
  <si>
    <t>A0334_Campos2025</t>
  </si>
  <si>
    <t>Appoint Chief Risk Officer</t>
  </si>
  <si>
    <t>There should be a senior executive responsible for risk management processes (often called a Chief Risk Officer) who is accountable for the risk management processes, but is importantly not a risk owner making risk decisions themselves.</t>
  </si>
  <si>
    <t>A0217; A0335;</t>
  </si>
  <si>
    <t>A0217_Schuett2023 Chief risk officer (0,56); A0335_Campos2025 Enterprise Risk Management Function (0,22)</t>
  </si>
  <si>
    <t>A0335_Campos2025</t>
  </si>
  <si>
    <t>Enterprise Risk Management Function</t>
  </si>
  <si>
    <t>To provide support to the Chief Risk Officer, it is common in many industries to have a central risk function... In most industries, this function is known as Enterprise Risk Management (ERM).</t>
  </si>
  <si>
    <t>A0181; A0217; A0334;</t>
  </si>
  <si>
    <t>A0181_Schuett2023 Enterprise risk management (0,32); A0217_Schuett2023 Chief risk officer (0,26); A0334_Campos2025 Appoint Chief Risk Officer (0,22)</t>
  </si>
  <si>
    <t>A0336_Campos2025</t>
  </si>
  <si>
    <t>Speak-Up Culture</t>
  </si>
  <si>
    <t>A key feature of a speak-up culture is whistleblowing - processes for anonymously reporting issues.</t>
  </si>
  <si>
    <t>A0337_Campos2025</t>
  </si>
  <si>
    <t>Company Risk Culture</t>
  </si>
  <si>
    <t>All aspects of culture are ultimately driven by the ‘tone at the top’. This can be defined as ‘top management’s way to express [...] values pursued in the organization and provide guidance to employees’…</t>
  </si>
  <si>
    <t>A0338_Campos2025</t>
  </si>
  <si>
    <t>Board Level Oversight</t>
  </si>
  <si>
    <t xml:space="preserve">Board-level oversight is necessary to provide checks and balances to senior management.
</t>
  </si>
  <si>
    <t>A0847</t>
  </si>
  <si>
    <t>A0847_UK Government2023 Board-level Responsibility for Protective Sec (0,20)</t>
  </si>
  <si>
    <t>A0339_Campos2025</t>
  </si>
  <si>
    <t>Audits are provided by internal auditors and/or external auditors. In both cases, they are independent from peer pressure dynamics occurring within the teams dealing with the risk.</t>
  </si>
  <si>
    <t>A0340_Campos2025</t>
  </si>
  <si>
    <t>External Disclosure</t>
  </si>
  <si>
    <t>The first type of communication is external disclosure of the risks faced by the organization… this should be broadened to include risks to society from the company’s products.</t>
  </si>
  <si>
    <t>A0624_Barrett2024</t>
  </si>
  <si>
    <t>Risk Ownership by Capability</t>
  </si>
  <si>
    <t xml:space="preserve">Take responsibility for risk assessment and risk management tasks for which your organization has access to information, capability, or opportunity to develop capability sufficient for constructive action, or that is substantially greater than others in the value chain 
</t>
  </si>
  <si>
    <t>A0625_Barrett2024</t>
  </si>
  <si>
    <t>Risk-Tolerance Thresholds</t>
  </si>
  <si>
    <t>Set risk-tolerance thresholds to prevent unacceptable risks</t>
  </si>
  <si>
    <t>A0656; A0140; A0281;</t>
  </si>
  <si>
    <t>A0656_Barrett2024 Risk Tolerance Thresholds (0,61); A0140_Future of Life Institute2024 Pre-specified risk tolerance (0,34); A0281_Campos2025 Risk Tolerance Threshold (0,27)</t>
  </si>
  <si>
    <t>A0626_Barrett2024</t>
  </si>
  <si>
    <t>Anticipate Misuse &amp; Impact</t>
  </si>
  <si>
    <t xml:space="preserve">Identify reasonably foreseeable uses, and misuses or abuses for a GPAIS (e.g, auto-
mated generation of toxic or illegal content or disinformation, or aiding with proliferation
of cyber, chemical, biological, or radiological weapons), and identify reasonably foreseeable
potential impacts (e.g., to fundamental rights)
</t>
  </si>
  <si>
    <t>A0627_Barrett2024</t>
  </si>
  <si>
    <t>Assess Catastrophic Risk</t>
  </si>
  <si>
    <t xml:space="preserve">Identify whether a GPAIS could lead to significant, severe, or catastrophic impacts,
e.g., because of correlated failures or errors across high-stakes deployment domains, dan-
gerous emergent behaviors or vulnerabilities, or harmful misuses and abuses
</t>
  </si>
  <si>
    <t>A0628_Barrett2024</t>
  </si>
  <si>
    <t>Red-Team for Dangerous Behaviors</t>
  </si>
  <si>
    <t xml:space="preserve">Use red teams and adversarial testing as part of extensive interaction with GPAIS to
identify dangerous capabilities, vulnerabilities, or other emergent properties of such
systems
</t>
  </si>
  <si>
    <t>A0629_Barrett2024</t>
  </si>
  <si>
    <t>Risk Tracking</t>
  </si>
  <si>
    <t xml:space="preserve">Track important identified risks (e.g., vulnerabilities from data poisoning and other
attacks or objectives mis-specification) even if they cannot yet be measured 
</t>
  </si>
  <si>
    <t>A0491</t>
  </si>
  <si>
    <t>A0491_NIST2024 Unmeasurable Risk Tracking (0,21)</t>
  </si>
  <si>
    <t>A0630_Barrett2024</t>
  </si>
  <si>
    <t>Apply Lifecycle Risk Controls</t>
  </si>
  <si>
    <t xml:space="preserve">Implement risk-reduction controls as appropriate throughout a GPAIS lifecycle, e.g.,
independent auditing, incremental scale-up, red-teaming, structured access or staged
release, and other steps
</t>
  </si>
  <si>
    <t>A0631_Barrett2024</t>
  </si>
  <si>
    <t>Disclose Risks to Stakeholders</t>
  </si>
  <si>
    <t xml:space="preserve">Incorporate identified AI system risk factors, and circumstances that could result in
impacts or harms, into reporting and engagement with internal and external stake-
holders (e.g., to downstream developers, regulators, users, impacted communities, etc.) on
the AI system as appropriate, e.g., using model cards, system cards, and other transparency
mechanisms
</t>
  </si>
  <si>
    <t>A0632_Barrett2024</t>
  </si>
  <si>
    <t>Document Mitigation Rationale</t>
  </si>
  <si>
    <t xml:space="preserve">Document the process used in considering risk mitigation controls,
the options considered, and reasons for choices. 
</t>
  </si>
  <si>
    <t>A0633_Barrett2024</t>
  </si>
  <si>
    <t>Ensure Legal Compliance</t>
  </si>
  <si>
    <t>Legal and regulatory
requirements involving
AI are understood,
managed, and
documented.</t>
  </si>
  <si>
    <t>A0075; A0762;</t>
  </si>
  <si>
    <t>A0075_Eisenberg2025 Establish AI legal compliance process (0,22); A0762_NIST2024 Information Security; Data Privacy (0,19)</t>
  </si>
  <si>
    <t>A0634_Barrett2024</t>
  </si>
  <si>
    <t>Trustworthy AI practices</t>
  </si>
  <si>
    <t>The characteristics
of trustworthy AI
are integrated into
organizational policies,
processes, procedures,
and practices.</t>
  </si>
  <si>
    <t>A0635_Barrett2024</t>
  </si>
  <si>
    <t>Align Risk Management to Tolerance</t>
  </si>
  <si>
    <t>Processes, procedures,
and practices are in
place to determine
the needed level of
risk management
activities based on
the organization’s risk
tolerance.</t>
  </si>
  <si>
    <t>A0688; A0625; A0140;</t>
  </si>
  <si>
    <t>A0688_Barrett2024 Align Risk Metrics with Context (0,16); A0625_Barrett2024 Risk-Tolerance Thresholds (0,16); A0140_Future of Life Institute2024 Pre-specified risk tolerance (0,15)</t>
  </si>
  <si>
    <t>A0636_Barrett2024</t>
  </si>
  <si>
    <t>Transparent RM Policies</t>
  </si>
  <si>
    <t>The risk management
process and its
outcomes are
established through
transparent policies,
procedures, and other
controls based on
organizational risk
priorities.</t>
  </si>
  <si>
    <t>A0637_Barrett2024 Monitoring of RM policies (0,29)</t>
  </si>
  <si>
    <t>A0637_Barrett2024</t>
  </si>
  <si>
    <t>Monitoring of RM policies</t>
  </si>
  <si>
    <t>Ongoing monitoring
and periodic review of
the risk management
process and its
outcomes are planned
and organizational roles
and responsibilities
clearly defined,
including determining
the frequency of
periodic review.</t>
  </si>
  <si>
    <t>A0636; A0400;</t>
  </si>
  <si>
    <t>A0636_Barrett2024 Transparent RM Policies (0,29); A0400_NIST2024 Content Provenance Review (0,19)</t>
  </si>
  <si>
    <t>A0638_Barrett2024</t>
  </si>
  <si>
    <t>Inventory AI Systems</t>
  </si>
  <si>
    <t>Mechanisms are in
place to inventory
AI systems and are
resourced according
to organizational risk
priorities.</t>
  </si>
  <si>
    <t>A0403; A0404;</t>
  </si>
  <si>
    <t>A0403_NIST2024 System Inventory Enumeration (0,18); A0404_NIST2024 Inventory Exemption Definition (0,15)</t>
  </si>
  <si>
    <t>A0639_Barrett2024</t>
  </si>
  <si>
    <t>Decommission AI Systems Safely</t>
  </si>
  <si>
    <t>Processes and
procedures are in place
for decommissioning
and phasing out AI
systems safely and in a
manner
that does not increase
risks or decrease the
organization’s
trustworthiness.</t>
  </si>
  <si>
    <t>A0640_Barrett2024</t>
  </si>
  <si>
    <t>Define AI Risk Roles</t>
  </si>
  <si>
    <t>Roles and
responsibilities and
lines of communication
related to mapping,
measuring, and
managing AI risks are
documented and are
clear to individuals and
teams throughout the
organization.</t>
  </si>
  <si>
    <t>A0643; A0644;</t>
  </si>
  <si>
    <t>A0643_Barrett2024 Diverse Risk Voices (0,20); A0644_Barrett2024 Human-AI Oversight Roles (0,17)</t>
  </si>
  <si>
    <t>A0641_Barrett2024</t>
  </si>
  <si>
    <t>Train on AI Risk</t>
  </si>
  <si>
    <t>The organization’s
personnel and
partners receive AI risk
management training
to enable them to
perform their duties
and responsibilities
consistent with related
policies, procedures,
and agreements</t>
  </si>
  <si>
    <t>A0079</t>
  </si>
  <si>
    <t>A0079_Eisenberg2025 Establish AI Risk Management System (0,18)</t>
  </si>
  <si>
    <t>A0642_Barrett2024</t>
  </si>
  <si>
    <t>Executive Risk Accountability</t>
  </si>
  <si>
    <t>Executive leadership
of the organization
takes responsibility for
decisions about risks
associated with AI sys-
tem development and
deployment.</t>
  </si>
  <si>
    <t>A0643_Barrett2024</t>
  </si>
  <si>
    <t>Diverse Risk Voices</t>
  </si>
  <si>
    <t>Decision-making related
to mapping, measuring,
and managing AI risks
throughout the lifecycle
is informed by a diverse
team (e.g., diversity
of demographics,
disciplines, experience,
expertise, and
backgrounds).</t>
  </si>
  <si>
    <t xml:space="preserve">A0640; </t>
  </si>
  <si>
    <t>A0640_Barrett2024 Define AI Risk Roles (0,20)</t>
  </si>
  <si>
    <t>A0644_Barrett2024</t>
  </si>
  <si>
    <t xml:space="preserve"> Human-AI Oversight Roles</t>
  </si>
  <si>
    <t>Policies and procedures
are in place to define
and differentiate roles
and responsibilities for
human-AI configurations
and oversight of AI
systems.</t>
  </si>
  <si>
    <t>A0640_Barrett2024 Define AI Risk Roles (0,17)</t>
  </si>
  <si>
    <t>A0645_Barrett2024</t>
  </si>
  <si>
    <t>Safety-First Culture</t>
  </si>
  <si>
    <t>Organizational policies
and practices are in
place to foster a critical
thinking and safety-
first mindset in the
design, development,
deployment, and uses of
AI systems to minimize
potential negative
impacts.</t>
  </si>
  <si>
    <t>A0646_Barrett2024</t>
  </si>
  <si>
    <t>Document &amp; Share AI Risk Impacts</t>
  </si>
  <si>
    <t>Organizational teams
document the risks and
potential impacts of
the AI technology they
design, develop, deploy,
evaluate, and use, and
they communicate
about the impacts more
broadly.</t>
  </si>
  <si>
    <t>A0647_Barrett2024</t>
  </si>
  <si>
    <t>Detect &amp; Share Incidents</t>
  </si>
  <si>
    <t>Organizational practices
are in place to enable
AI testing, identification
of incidents, and
information sharing.</t>
  </si>
  <si>
    <t>A0648_Barrett2024</t>
  </si>
  <si>
    <t>External Feedback on Impacts</t>
  </si>
  <si>
    <t>Organizational policies
and practices are in
place
to collect, consider,
prioritize, and integrate
feedback from those
external to the team
that developed or
deployed the AI system
regarding the potential
individual and societal
impacts related to AI
risks.</t>
  </si>
  <si>
    <t>A0649; A0668;</t>
  </si>
  <si>
    <t>A0649_Barrett2024 External Feedback on System Design (0,26); A0668_Barrett2024 Assess &amp; Document Risk Magnitude (0,16)</t>
  </si>
  <si>
    <t>A0649_Barrett2024</t>
  </si>
  <si>
    <t>External Feedback on System Design</t>
  </si>
  <si>
    <t>Mechanisms are
established to enable
the team that developed
or deployed AI systems
to regularly incorporate
adjudicated feedback
from relevant AI actors
into system design and
implementation.</t>
  </si>
  <si>
    <t xml:space="preserve">A0648; </t>
  </si>
  <si>
    <t>A0648_Barrett2024 External Feedback on Impacts (0,26)</t>
  </si>
  <si>
    <t>A0650_Barrett2024</t>
  </si>
  <si>
    <t>Third-Party Risk</t>
  </si>
  <si>
    <t>Policies and procedures
are in place that address
AI risks associated with
third-party entities,
including risks of
infringement of a
third-party’s intellectual
property or other
rights.</t>
  </si>
  <si>
    <t>A0666; A0427; A0470;</t>
  </si>
  <si>
    <t>A0666_Barrett2024 Document AI RM Third Party Framework (0,21); A0427_NIST2024 Content Rights Categorization (0,18); A0470_NIST2024 Third-Party IP Protection (0,16)</t>
  </si>
  <si>
    <t>A0651_Barrett2024</t>
  </si>
  <si>
    <t>Contingency Planning for Third-Party Failures</t>
  </si>
  <si>
    <t>Contingency processes
are in place to handle
failures or incidents in
third-party data or AI
systems deemed to be
high-risk.</t>
  </si>
  <si>
    <t>A0652_Barrett2024</t>
  </si>
  <si>
    <t xml:space="preserve"> Document Intended Use &amp; Context</t>
  </si>
  <si>
    <t>Intended purposes,
potentially beneficial uses,
context-specific laws,
norms and expectations,
and prospective settings
in which the AI system
will be deployed
are understood
and documented.</t>
  </si>
  <si>
    <t>A0661</t>
  </si>
  <si>
    <t>A0661_Barrett2024 Document Intended Benefits (0,16)</t>
  </si>
  <si>
    <t>A0653_Barrett2024</t>
  </si>
  <si>
    <t>Prioritize Interdisciplinary Collaboration</t>
  </si>
  <si>
    <t>Interdisciplinary AI actors,
competencies, skills, and
capacities for establish-
ing context reflect de-
mographic diversity and
broad domain and user
experience expertise,
and their participation
is documented. Oppor-
tunities for interdisci-
plinary collaboration are
prioritized.</t>
  </si>
  <si>
    <t>A0654_Barrett2024</t>
  </si>
  <si>
    <t>Document AI Mission &amp; Goals</t>
  </si>
  <si>
    <t>The organization’s
mission and relevant
goals for AI technology
are understood and
documented.</t>
  </si>
  <si>
    <t>A0655_Barrett2024</t>
  </si>
  <si>
    <t>Business Use</t>
  </si>
  <si>
    <t>The business value or
context of business
use has been clearly
defined or – in the case
of assessing existing AI
systems – re-evaluated.</t>
  </si>
  <si>
    <t>A0656_Barrett2024</t>
  </si>
  <si>
    <t>Risk Tolerance Thresholds</t>
  </si>
  <si>
    <t>Organizational
risk tolerances are
determined and
documented.</t>
  </si>
  <si>
    <t>A0625; A0140; A0281;</t>
  </si>
  <si>
    <t>A0625_Barrett2024 Risk-Tolerance Thresholds (0,61); A0140_Future of Life Institute2024 Pre-specified risk tolerance (0,22); A0281_Campos2025 Risk Tolerance Threshold (0,19)</t>
  </si>
  <si>
    <t>System requirements (e.g., “the system shall respect the privacy of its users”) are elicited from and understood by relevant AI actors.
Design decisions take socio-technical implications into account to address AI risks</t>
  </si>
  <si>
    <t>A0658_Barrett2024</t>
  </si>
  <si>
    <t>Define Tasks &amp; Methods</t>
  </si>
  <si>
    <t>The specific tasks
and methods used to
implement the tasks
that the AI system will
support are defined
(e.g., classifiers,
generative models,
recommenders).</t>
  </si>
  <si>
    <t>A0659_Barrett2024</t>
  </si>
  <si>
    <t>Document Limits &amp; Oversight</t>
  </si>
  <si>
    <t>Information about the AI
system’s knowledge limits
and how system output
may be utilized and
overseen by humans is
documented. Documen-
tation provides sufficient
information to assist
relevant AI actors when
making decisions and tak-
ing subsequent actions.</t>
  </si>
  <si>
    <t>A0660_Barrett2024</t>
  </si>
  <si>
    <t>Document TEVV &amp; Integrity</t>
  </si>
  <si>
    <t>Scientific integrity and
TEVV considerations
are identified and docu-
mented, including those
related to experimental
design, data collection
and selection (e.g.,
availability, represen-
tativeness, suitability),
system trustworthiness,
and construct validation</t>
  </si>
  <si>
    <t>A0673</t>
  </si>
  <si>
    <t>A0673_Barrett2024 Document TEVV Tools &amp; Metrics (0,16)</t>
  </si>
  <si>
    <t>A0661_Barrett2024</t>
  </si>
  <si>
    <t>Document Intended Benefits</t>
  </si>
  <si>
    <t>Potential benefits of intend-
ed AI system functionality
and performance are ex-
amined and documented</t>
  </si>
  <si>
    <t>A0652</t>
  </si>
  <si>
    <t>A0652_Barrett2024 Document Intended Use &amp; Context (0,16)</t>
  </si>
  <si>
    <t>A0662_Barrett2024</t>
  </si>
  <si>
    <t>Document AI Error Costs</t>
  </si>
  <si>
    <t>Potential costs, in-
cluding non-monetary
costs, which result from
expected or realized AI
errors or system func-
tionality and trustwor-
thiness – as connected
to organizational risk
tolerance – are exam-
ined and documented.</t>
  </si>
  <si>
    <t>A0663_Barrett2024</t>
  </si>
  <si>
    <t>Document Application Scope</t>
  </si>
  <si>
    <t>Targeted application
scope is specified
and documented
based on the system’s
capability, established
context, and AI system
categorization.</t>
  </si>
  <si>
    <t>A0664_Barrett2024</t>
  </si>
  <si>
    <t>Document Operator Proficiency</t>
  </si>
  <si>
    <t>Processes for operator
and practitioner
proficiency with AI
system performance
and trustworthiness
– and relevant
technical standards
and certifications – are
defined, assessed, and
documented.</t>
  </si>
  <si>
    <t>A0665_Barrett2024</t>
  </si>
  <si>
    <t>Define Human Oversight Protocols</t>
  </si>
  <si>
    <t>Processes for
human oversight are
defined, assessed,
and documented
in accordance with
organizational policies
from the Govern
function</t>
  </si>
  <si>
    <t>A0666_Barrett2024</t>
  </si>
  <si>
    <t>Document AI RM Third Party Framework</t>
  </si>
  <si>
    <t>Approaches for mapping
AI technology and legal
risks of its components
– including the use
of third-party data or
software – are in place,
followed, and docu-
mented, as are risks of
infringement of a third
party’s intellectual prop-
erty or other rights.</t>
  </si>
  <si>
    <t>A0650_Barrett2024 Third-Party Risk (0,21)</t>
  </si>
  <si>
    <t>A0667_Barrett2024</t>
  </si>
  <si>
    <t>Document Internal &amp; Third-Party Controls</t>
  </si>
  <si>
    <t>Internal risk controls for
components of the AI
system, including third-
party AI technologies,
are identified and
documented.</t>
  </si>
  <si>
    <t>A0668_Barrett2024</t>
  </si>
  <si>
    <t xml:space="preserve">Assess &amp; Document Risk Magnitude	</t>
  </si>
  <si>
    <t>Likelihood and
magnitude of each
identified impact (both
potentially beneficial
and harmful) based on
expected use, past uses
of AI systems in similar
contexts, public incident
reports, feedback from
those external to the
team that developed
or deployed the AI
system, or other data
are identified and
documented.</t>
  </si>
  <si>
    <t>A0648</t>
  </si>
  <si>
    <t>A0648_Barrett2024 External Feedback on Impacts (0,16)</t>
  </si>
  <si>
    <t>A0669_Barrett2024</t>
  </si>
  <si>
    <t>Establish Feedback Integration Processes</t>
  </si>
  <si>
    <t>Practices and personnel
for supporting regular
engagement with
relevant AI actors and
integrating feedback
about positive, negative,
and unanticipated
impacts are in place and
documented.</t>
  </si>
  <si>
    <t>A0670_Barrett2024</t>
  </si>
  <si>
    <t>Select &amp; Document Risk Metrics</t>
  </si>
  <si>
    <t>Approaches and metrics
for measurement of
AI risks enumerated
during the Map
function are selected
for implementation
starting with the most
significant AI risks. The
risks or trustworthiness
characteristics that will
not – or cannot – be
measured are properly
documented.</t>
  </si>
  <si>
    <t>A0688; A0693;</t>
  </si>
  <si>
    <t>A0688_Barrett2024 Align Risk Metrics with Context (0,17); A0693_Barrett2024 Plan &amp; Document Risk Responses (0,15)</t>
  </si>
  <si>
    <t>A0671_Barrett2024</t>
  </si>
  <si>
    <t>Evaluate Risk Metrics &amp; Controls</t>
  </si>
  <si>
    <t>Appropriateness
of AI metrics and
effectiveness
of existing controls are
regularly assessed and
updated, including
reports of errors and
potential impacts on
affected communities.</t>
  </si>
  <si>
    <t>A0672_Barrett2024</t>
  </si>
  <si>
    <t>Involve Independent &amp; External Assessors</t>
  </si>
  <si>
    <t>Internal experts who
did not serve as
front-line developers
for the system and/
or independent
assessors are involved
in regular assessments
and updates. Domain
experts, users, AI
actors external to the
team that developed
or deployed the AI
system, and affected
communities are
consulted in support
of assessments
as necessary per
organizational risk
tolerance.</t>
  </si>
  <si>
    <t>A0673_Barrett2024</t>
  </si>
  <si>
    <t>Document TEVV Tools &amp; Metrics</t>
  </si>
  <si>
    <t>Test sets, metrics, and
details about the tools
used during TEVV are
documented.</t>
  </si>
  <si>
    <t>A0660</t>
  </si>
  <si>
    <t>A0660_Barrett2024 Document TEVV &amp; Integrity (0,16)</t>
  </si>
  <si>
    <t>A0674_Barrett2024</t>
  </si>
  <si>
    <t>Ensure Ethical Human Evaluation</t>
  </si>
  <si>
    <t>Evaluations involving
human subjects meet
applicable requirements
(including human
subject protection) and
are representative of the
relevant population.</t>
  </si>
  <si>
    <t>AI system performance or assurance criteria are measured qualitatively or quantitatively and demonstrated for conditions similar
to deployment setting(s). Measures are documented</t>
  </si>
  <si>
    <t>A0676_Barrett2024</t>
  </si>
  <si>
    <t>Monitor System in Production</t>
  </si>
  <si>
    <t>The functionality
and behavior of the
AI system and its
components – as
identified in the Map
function – are
monitored when in
production.</t>
  </si>
  <si>
    <t>A0680</t>
  </si>
  <si>
    <t>A0680_Barrett2024 Explain &amp; Document Model Behavior (0,16)</t>
  </si>
  <si>
    <t>The AI system to be deployed is demonstrated to be valid and reliable.
Limitations of the generalizability beyond the conditions under which the technology
was developed are documented.</t>
  </si>
  <si>
    <t>A0678_Barrett2024</t>
  </si>
  <si>
    <t>Evaluate Safety &amp; Failure Modes</t>
  </si>
  <si>
    <t>The AI system is
evaluated regularly
for safety risks – as
identified in the Map
function. The AI
system to be deployed
is demonstrated to
be safe, its residual
negative risk does
not exceed the risk
tolerance, and it can
fail safely, particularly
if made to operate
beyond its knowledge
limits. Safety metrics
reflect system reliability
and robustness, real-
time monitoring, and
response times for AI
system failures.</t>
  </si>
  <si>
    <t>A0679_Barrett2024</t>
  </si>
  <si>
    <t>Evaluate Security &amp; Resilience</t>
  </si>
  <si>
    <t>AI system security and
resilience – as identified
in the Map function
– are evaluated and
documented.</t>
  </si>
  <si>
    <t>A0682; A0517;</t>
  </si>
  <si>
    <t>A0682_Barrett2024 Evaluate &amp; Document Fairness (0,24); A0684_Barrett2024 Evaluate TEVV Effectiveness (0,17); A0517_NIST2024 Security Benchmarking (0,16)</t>
  </si>
  <si>
    <t>A0680_Barrett2024</t>
  </si>
  <si>
    <t>Explain &amp; Document Model Behavior</t>
  </si>
  <si>
    <t>The AI model is
explained, validated,
and documented, and
AI system output is
interpreted within its
context – as identified
in the Map function – to
inform responsible use
and governance.</t>
  </si>
  <si>
    <t>A0676</t>
  </si>
  <si>
    <t>A0676_Barrett2024 Monitor System in Production (0,16)</t>
  </si>
  <si>
    <t>A0681_Barrett2024</t>
  </si>
  <si>
    <t>Examine &amp; Document Privacy Risk</t>
  </si>
  <si>
    <t>Privacy risk of the AI
system – as identified
in the Map function
– is examined and
documented.</t>
  </si>
  <si>
    <t>A0465; A0682;</t>
  </si>
  <si>
    <t>A0465_NIST2024 Privacy Risk Monitoring (0,20); A0682_Barrett2024 Evaluate &amp; Document Fairness (0,15)</t>
  </si>
  <si>
    <t>A0682_Barrett2024</t>
  </si>
  <si>
    <t>Evaluate &amp; Document Fairness</t>
  </si>
  <si>
    <t>Fairness and bias – as
identified in the Map
function – are evaluated
and results are
documented.</t>
  </si>
  <si>
    <t>A0679_Barrett2024 Evaluate Security &amp; Resilience (0,24); A0681_Barrett2024 Examine &amp; Document Privacy Risk (0,15)</t>
  </si>
  <si>
    <t>A0683_Barrett2024</t>
  </si>
  <si>
    <t>Assess Environmental Impact</t>
  </si>
  <si>
    <t>Environmental impact
and sustainability of
AI model training and
management activities –
as identified in the Map
function – are assessed
and documented.</t>
  </si>
  <si>
    <t>A0073; A0713;</t>
  </si>
  <si>
    <t>A0073_Eisenberg2025 Implement environmental impact management sys (0,24); A0713_NIST2024 Environmental Impact Assessment (0,19)</t>
  </si>
  <si>
    <t>A0684_Barrett2024</t>
  </si>
  <si>
    <t>Evaluate TEVV Effectiveness</t>
  </si>
  <si>
    <t>Effectiveness of the
employed TEVV metrics
and processes in the
Measure function
are evaluated and
documented.</t>
  </si>
  <si>
    <t>A0679_Barrett2024 Evaluate Security &amp; Resilience (0,17)</t>
  </si>
  <si>
    <t>A0685_Barrett2024</t>
  </si>
  <si>
    <t>Track Emergent AI Risks</t>
  </si>
  <si>
    <t>Approaches, personnel,
and documentation
are in place to regularly
identify and track
existing, unanticipated,
and emergent AI risks
based on factors
such as intended and
actual performance in
deployed contexts.</t>
  </si>
  <si>
    <t>A0686_Barrett2024</t>
  </si>
  <si>
    <t>Consider Alternatives for Hard-to-Measure Risks</t>
  </si>
  <si>
    <t>Risk tracking approaches
are considered for
settings where AI
risks are difficult to
assess using currently
available measurement
techniques or where
metrics are not yet
available.</t>
  </si>
  <si>
    <t>A0687_Barrett2024</t>
  </si>
  <si>
    <t>Enable User Feedback &amp; Appeals</t>
  </si>
  <si>
    <t>Feedback processes for
end users and impacted
communities to report
problems and appeal
system outcomes are
established and inte-
grated into AI system
evaluation metrics.</t>
  </si>
  <si>
    <t>A0416</t>
  </si>
  <si>
    <t>A0416_NIST2024 User Feedback Mechanism (0,16)</t>
  </si>
  <si>
    <t>A0688_Barrett2024</t>
  </si>
  <si>
    <t xml:space="preserve">Align Risk Metrics with Context  </t>
  </si>
  <si>
    <t>Measurement approach-
es for identifying AI
risks are connected to
deployment context(s)
and informed through
consultation with do-
main experts and other
end users. Approaches
are documented.</t>
  </si>
  <si>
    <t>A0670; A0635;</t>
  </si>
  <si>
    <t>A0670_Barrett2024 Select &amp; Document Risk Metrics (0,17); A0635_Barrett2024 Align Risk Management to Tolerance (0,16)</t>
  </si>
  <si>
    <t>A0689_Barrett2024</t>
  </si>
  <si>
    <t xml:space="preserve">Validate Trustworthiness with Expert Input  </t>
  </si>
  <si>
    <t>Measurement results
regarding AI system
trustworthiness in
deployment context(s)
and across the AI
lifecycle are informed
by input from domain
experts and relevant
AI actors to validate
whether the system is
performing consistently
as intended. Results are
documented.</t>
  </si>
  <si>
    <t>A0690_Barrett2024</t>
  </si>
  <si>
    <t xml:space="preserve">Document Performance Shifts from Field Data  </t>
  </si>
  <si>
    <t>Measurable
performance
improvements or
declines based on
consultations with
relevant AI actors,
including affected
communities, and
field data about
context-relevant risks
and trustworthiness
characteristics are
identified
and document</t>
  </si>
  <si>
    <t>A0691_Barrett2024</t>
  </si>
  <si>
    <t xml:space="preserve">Determine Deployment Readiness  </t>
  </si>
  <si>
    <t>A determination is
made as to whether
the AI system achieves
its intended purposes
and stated objectives
and whether its
development or
deployment should
proceed.</t>
  </si>
  <si>
    <t>A0692_Barrett2024</t>
  </si>
  <si>
    <t>Prioritize Risk Treatment</t>
  </si>
  <si>
    <t>Treatment of
documented AI risks
is prioritized based on
impact, likelihood, and
available resources or
methods.</t>
  </si>
  <si>
    <t>A0693_Barrett2024</t>
  </si>
  <si>
    <t xml:space="preserve">Plan &amp; Document Risk Responses  </t>
  </si>
  <si>
    <t>Responses to the AI
risks deemed high
priority, as identified by
the Map function, are
developed, planned,
and documented. Risk
response options can
include mitigating,
transferring, avoiding,
or accepting.</t>
  </si>
  <si>
    <t>A0670</t>
  </si>
  <si>
    <t>A0670_Barrett2024 Select &amp; Document Risk Metrics (0,15)</t>
  </si>
  <si>
    <t>A0694_Barrett2024</t>
  </si>
  <si>
    <t xml:space="preserve">Document Residual Risks  </t>
  </si>
  <si>
    <t>Negative residual risks
(defined as the sum
of all
unmitigated risks)
to both downstream
acquirers of AI systems
and end users are
documented.</t>
  </si>
  <si>
    <t>A0695_Barrett2024</t>
  </si>
  <si>
    <t xml:space="preserve">Consider Resources &amp; Alternatives  </t>
  </si>
  <si>
    <t>Resources required
to manage AI risks are
taken into account
– along with viable
non-AI alternative
systems, approaches,
or methods – to reduce
the magnitude or
likelihood of
potential impacts.</t>
  </si>
  <si>
    <t>A0696_Barrett2024</t>
  </si>
  <si>
    <t xml:space="preserve">Sustain Deployed System Value  </t>
  </si>
  <si>
    <t>Mechanisms are in
place and applied to
sustain the value of
deployed AI systems.</t>
  </si>
  <si>
    <t>A0697_Barrett2024</t>
  </si>
  <si>
    <t xml:space="preserve">Respond to Unknown Risks  </t>
  </si>
  <si>
    <t>Procedures are
followed to respond
to and recover from a
previously unknown risk
when it is identified.</t>
  </si>
  <si>
    <t>A0277_Campos2025 Identification of unknown risks (0,20)</t>
  </si>
  <si>
    <t>Mechanisms are in place and applied, and responsibilities
are assigned and understood, to supersede, disengage,
or deactivate AI systems that demonstrate performance or
outcomes inconsistent with intended use.</t>
  </si>
  <si>
    <t>AI risks and benefits from third-party resources are regularly
monitored, and risk controls are applied and documented.</t>
  </si>
  <si>
    <t>A0700_Barrett2024</t>
  </si>
  <si>
    <t xml:space="preserve">Monitor Pre-trained Models  </t>
  </si>
  <si>
    <t>Pre-trained models
which are used for
development
are monitored as part
of AI system regular
monitoring and
maintenance.</t>
  </si>
  <si>
    <t>A0750; A0748;</t>
  </si>
  <si>
    <t>A0750_NIST2024 CBRN Information or Capabilities; Confabulati (0,18); A0748_NIST2024 Information Integrity; Value Chain and Compon (0,17)</t>
  </si>
  <si>
    <t>Post-deployment AI
system monitoring
plans are implemented,
including mechanisms
for capturing and
evaluating input
from users and other
relevant AI actors,
appeal and override,
decommissioning,
incident response,
recovery, and change
management.</t>
  </si>
  <si>
    <t>A0702_Barrett2024</t>
  </si>
  <si>
    <t xml:space="preserve">Integrate Continuous Improvement  </t>
  </si>
  <si>
    <t>Measurable activities
for continual
improvements
are integrated into
AI system updates
and include regular
engagement with
interested parties,
including relevant AI
actors.</t>
  </si>
  <si>
    <t>Incidents and errors are communicated to relevant AI actors, including affected communities. Processes for tracking, responding
to, and recovering from incidents and errors are followed and documented.</t>
  </si>
  <si>
    <t>A0171_Schuett2023</t>
  </si>
  <si>
    <t>Alignment Techniques</t>
  </si>
  <si>
    <t>AGI labs should implement state-of-the-art safety and alignment techniques.</t>
  </si>
  <si>
    <t>A0172_Schuett2023</t>
  </si>
  <si>
    <t>API access to powerful models</t>
  </si>
  <si>
    <t>AGI labs should strongly consider only deploying powerful models via an application programming interface (API).</t>
  </si>
  <si>
    <t>A0173_Schuett2023</t>
  </si>
  <si>
    <t>Avoid Capabilities Jumps</t>
  </si>
  <si>
    <t>AGI labs should not deploy models that are much more capable than any existing models.*</t>
  </si>
  <si>
    <t>A0174_Schuett2023</t>
  </si>
  <si>
    <t>Avoiding Hype</t>
  </si>
  <si>
    <t>AGI labs should avoid releasing powerful models in a way that is likely to create hype around AGI (e.g. by overstating results or announcing them in attention-grabbing ways).</t>
  </si>
  <si>
    <t>A0175_Schuett2023</t>
  </si>
  <si>
    <t>Background checks</t>
  </si>
  <si>
    <t>AGI labs should perform rigorous background checks before hiring/appointing members of the board of directors, senior executives, and key employees.*</t>
  </si>
  <si>
    <t>A0148</t>
  </si>
  <si>
    <t>A0148_Future of Life Institute2024 Require security clearances and have private  (0,26)</t>
  </si>
  <si>
    <t>A0176_Schuett2023</t>
  </si>
  <si>
    <t>Board risk committee</t>
  </si>
  <si>
    <t>AGI labs should have a board risk committee, i.e. a permanent committee within the board of directors which oversees the lab’s risk management practices.*</t>
  </si>
  <si>
    <t>A0091; A0185;</t>
  </si>
  <si>
    <t>A0091_Future of Life Institute2024 BOD formal risk committee (0,37); A0185_Schuett2023 Internal audit (0,22)</t>
  </si>
  <si>
    <t>A0177_Schuett2023</t>
  </si>
  <si>
    <t>Bug bounty programs</t>
  </si>
  <si>
    <t>AGI labs should have bug bounty programs, i.e. recognize and compensate people for reporting unknown vulnerabilities and dangerous capabilities.</t>
  </si>
  <si>
    <t>A1020; A0093;</t>
  </si>
  <si>
    <t>A1020_Uuk2024 Bug bounty programs (0,62); A0093_Future of Life Institute2024 Bug bounties for model vulnerabilities (0,18)</t>
  </si>
  <si>
    <t>A0178_Schuett2023</t>
  </si>
  <si>
    <t>AGI labs should run evaluations to assess their models’ dangerous capabilities (e.g. misuse potential, ability to manipulate, and power-seeking behavior).</t>
  </si>
  <si>
    <t>A0179_Schuett2023</t>
  </si>
  <si>
    <t>Dual control</t>
  </si>
  <si>
    <t>Critical decisions in model development and deployment should be made by at least two people (e.g. promotion to production, changes to training datasets, or modifications to production).*</t>
  </si>
  <si>
    <t>A0180_Schuett2023</t>
  </si>
  <si>
    <t>Emergency response plan</t>
  </si>
  <si>
    <t>AGI labs should have and practice implementing an emergency response plan. This might include switching off systems, overriding their outputs, or restricting access.</t>
  </si>
  <si>
    <t>A0209; A0110; A1035;</t>
  </si>
  <si>
    <t>A0209_Schuett2023 Security incident response plan (0,32); A0110_Future of Life Institute2024 Emergency Rollback Plan (0,24); A1035_Uuk2024 Safety Drills (0,23)</t>
  </si>
  <si>
    <t>A0181_Schuett2023</t>
  </si>
  <si>
    <t>Enterprise risk management</t>
  </si>
  <si>
    <t>AGI labs should implement an enterprise risk management (ERM) framework (e.g. the NIST AI Risk Management Framework or ISO 31000). This framework should be tailored to an AGI context and primarily focus on the lab’s impact on society.</t>
  </si>
  <si>
    <t>A0335; A0084; A0210;</t>
  </si>
  <si>
    <t>A0335_Campos2025 Enterprise Risk Management Function (0,32); A0084_Future of Life Institute2024 Adopted Risk Management Frameworks (0,27); A0210_Schuett2023 Security standards (0,19)</t>
  </si>
  <si>
    <t>A0182_Schuett2023</t>
  </si>
  <si>
    <t>Gradual scaling</t>
  </si>
  <si>
    <t>AGI labs should only gradually increase the amount of compute used for their largest training runs.</t>
  </si>
  <si>
    <t>A0183_Schuett2023</t>
  </si>
  <si>
    <t>Increasing levels of external scrutiny</t>
  </si>
  <si>
    <t>AGI labs should increase the level of external scrutiny in proportion to the capabilities of their models.</t>
  </si>
  <si>
    <t>A0184_Schuett2023</t>
  </si>
  <si>
    <t>Industry sharing of security information</t>
  </si>
  <si>
    <t>AGI labs should share threat intelligence and information about security incidents with each other.*</t>
  </si>
  <si>
    <t>A0185_Schuett2023</t>
  </si>
  <si>
    <t>Internal audit</t>
  </si>
  <si>
    <t>AGI labs should have an internal audit team, i.e. a team which assesses the effectiveness of the lab’s risk management practices. This team must be organizationally independent from senior management and report directly to the board of directors.</t>
  </si>
  <si>
    <t>A0121; A0176; A1034;</t>
  </si>
  <si>
    <t>A0121_Future of Life Institute2024 Internal Audit Team (0,44); A0176_Schuett2023 Board risk committee (0,22); A1034_Uuk2024 Risk-focused governance structures (0,19)</t>
  </si>
  <si>
    <t>A0186_Schuett2023</t>
  </si>
  <si>
    <t>Internal review before publications</t>
  </si>
  <si>
    <t>Before publishing research, AGI labs should conduct an internal review to assess potential harms.</t>
  </si>
  <si>
    <t>A0187_Schuett2023</t>
  </si>
  <si>
    <t>KYC screening</t>
  </si>
  <si>
    <t>AGI labs should conduct know-your-customer (KYC) screenings before giving people the ability to use powerful models.*</t>
  </si>
  <si>
    <t>A0188_Schuett2023</t>
  </si>
  <si>
    <t>Military-grade information security</t>
  </si>
  <si>
    <t>The information security of AGI labs should be proportional to the capabilities of their models, eventually matching or exceeding that of intelligence agencies (e.g. sufficient to defend against nation states).</t>
  </si>
  <si>
    <t>A0189_Schuett2023</t>
  </si>
  <si>
    <t>Model containment</t>
  </si>
  <si>
    <t>AGI labs should contain models with sufficiently dangerous capabilities (e.g. via boxing or air-gapping).</t>
  </si>
  <si>
    <t>A0190_Schuett2023</t>
  </si>
  <si>
    <t>Monitor systems and their uses</t>
  </si>
  <si>
    <t>AGI labs should closely monitor deployed systems, including how they are used and what impact they have on society.</t>
  </si>
  <si>
    <t>A0191</t>
  </si>
  <si>
    <t>A0191_Schuett2023 Monitor systems and their uses (1,00)</t>
  </si>
  <si>
    <t>A0191_Schuett2023</t>
  </si>
  <si>
    <t>A0190</t>
  </si>
  <si>
    <t>A0190_Schuett2023 Monitor systems and their uses (1,00)</t>
  </si>
  <si>
    <t>A0192_Schuett2023</t>
  </si>
  <si>
    <t>No unsafe open-sourcing</t>
  </si>
  <si>
    <t>AGI labs should not open-source powerful models, unless they can demonstrate that it is sufficiently safe to do so.</t>
  </si>
  <si>
    <t>A0193_Schuett2023</t>
  </si>
  <si>
    <t>Notify a state actor before deployment</t>
  </si>
  <si>
    <t>AGI labs should notify appropriate state actors before deploying powerful models.</t>
  </si>
  <si>
    <t>A0194_Schuett2023</t>
  </si>
  <si>
    <t>Notify affected parties</t>
  </si>
  <si>
    <t>AGI labs should notify parties who will be negatively affected by a powerful model before deploying it.*</t>
  </si>
  <si>
    <t>A0195_Schuett2023</t>
  </si>
  <si>
    <t>Pausing Training of Dangerous Models</t>
  </si>
  <si>
    <t>AGI labs should pause the development process if sufficiently dangerous capabilities are detected.</t>
  </si>
  <si>
    <t>A0196_Schuett2023</t>
  </si>
  <si>
    <t>Post-deployment evaluations</t>
  </si>
  <si>
    <t>AGI labs should continually evaluate models for dangerous capabilities after deployment, taking into account new information about the model’s capabilities and how it is being used.*</t>
  </si>
  <si>
    <t>A0197_Schuett2023</t>
  </si>
  <si>
    <t>Pre-deployment risk assessment</t>
  </si>
  <si>
    <t>AGI labs should take extensive measures to identify, analyze, and evaluate risks from powerful models before deploying them.</t>
  </si>
  <si>
    <t>A0765; A0216; A1030;</t>
  </si>
  <si>
    <t>A0765_UK Government2023 Pre-Deployment Risk Assessments (0,20); A0216_Schuett2023 Treat updates similarly to new models (0,18); A1030_Uuk2024 Pre-deployment risk assessments (0,18)</t>
  </si>
  <si>
    <t>A0198_Schuett2023</t>
  </si>
  <si>
    <t>Pre-training risk assessment</t>
  </si>
  <si>
    <t>AGI labs should conduct a risk assessment before training powerful models.</t>
  </si>
  <si>
    <t>A0199_Schuett2023</t>
  </si>
  <si>
    <t>Protection against espionage</t>
  </si>
  <si>
    <t>AGI labs should take adequate measures to tackle the risk of state-sponsored or industrial espionage.*</t>
  </si>
  <si>
    <t>A0200_Schuett2023</t>
  </si>
  <si>
    <t>Publish alignment strategy</t>
  </si>
  <si>
    <t>AGI labs should publish their strategies for ensuring that their systems are safe and aligned.*</t>
  </si>
  <si>
    <t>A0201_Schuett2023</t>
  </si>
  <si>
    <t>Publish internal risk assessment results</t>
  </si>
  <si>
    <t>AGI labs should publish the results or summaries of internal risk assessments, unless this would unduly reveal proprietary information or itself produce significant risk. This should include a justification of why the lab is willing to accept remaining risks.*</t>
  </si>
  <si>
    <t>A0202_Schuett2023</t>
  </si>
  <si>
    <t>Publish results of external scrutiny</t>
  </si>
  <si>
    <t>AGI labs should publish the results or summaries of external scrutiny efforts, unless this would unduly reveal proprietary information or itself produce significant risk.*</t>
  </si>
  <si>
    <t>A0203_Schuett2023</t>
  </si>
  <si>
    <t>Publish views about AGI risk</t>
  </si>
  <si>
    <t>AGI labs should make public statements about their views on the risks and benefits from AGI, including the level of risk they are willing to take in its development.</t>
  </si>
  <si>
    <t>A0204_Schuett2023</t>
  </si>
  <si>
    <t>Red teaming</t>
  </si>
  <si>
    <t>AGI labs should commission external red teams before deploying powerful models.</t>
  </si>
  <si>
    <t>A0214; A0011; A0998;</t>
  </si>
  <si>
    <t>A0214_Schuett2023 Third-party model audits (0,31); A0011_Bengio2025 Red Teaming (0,23); A0998_Gipiškis2024 Red teaming for GPAI system evaluation (0,19)</t>
  </si>
  <si>
    <t>A0205_Schuett2023</t>
  </si>
  <si>
    <t>Report safety incidents</t>
  </si>
  <si>
    <t>AGI labs should report accidents and near misses to appropriate state actors and other AGI labs (e.g. via an AI incident database).</t>
  </si>
  <si>
    <t>A0808</t>
  </si>
  <si>
    <t>A0808_UK Government2023 Reporting Security Details to Government Auth (0,15)</t>
  </si>
  <si>
    <t>A0206_Schuett2023</t>
  </si>
  <si>
    <t>Researcher model access</t>
  </si>
  <si>
    <t>AGI labs should give independent researchers API access to deployed models.</t>
  </si>
  <si>
    <t>A0207_Schuett2023</t>
  </si>
  <si>
    <t>Safety Restrictions</t>
  </si>
  <si>
    <t>AGI labs should establish appropriate safety restrictions for powerful models after deployment (e.g. restrictions on who can use the model, how they can use the model, and whether the model can access the internet).</t>
  </si>
  <si>
    <t>A0208_Schuett2023</t>
  </si>
  <si>
    <t>Safety vs. capabilities</t>
  </si>
  <si>
    <t>A significant fraction of employees of AGI labs should work on enhancing model safety and alignment rather than capabilities.</t>
  </si>
  <si>
    <t>A0209_Schuett2023</t>
  </si>
  <si>
    <t>Security incident response plan</t>
  </si>
  <si>
    <t>AGI labs should have a plan for how they respond to security incidents (e.g. cyberattacks).*</t>
  </si>
  <si>
    <t>A0180; A0830; A0401;</t>
  </si>
  <si>
    <t>A0180_Schuett2023 Emergency response plan (0,32); A0830_UK Government2023 Incident Response, Escalation, and Remeditati (0,25); A0401_NIST2024 Incident Response Process (0,19)</t>
  </si>
  <si>
    <t>A0210_Schuett2023</t>
  </si>
  <si>
    <t>Security standards</t>
  </si>
  <si>
    <t>A0119; A0181;</t>
  </si>
  <si>
    <t>A0119_Future of Life Institute2024 Implementation of cybersecurity frameworks (0,77); A0181_Schuett2023 Enterprise risk management (0,19)</t>
  </si>
  <si>
    <t>A0211_Schuett2023</t>
  </si>
  <si>
    <t>Staged deployment</t>
  </si>
  <si>
    <t>AGI labs should deploy powerful models in stages. They should start with a small number of applications and fewer users, gradually scaling up as confidence in the model’s safety increases.</t>
  </si>
  <si>
    <t>A1023</t>
  </si>
  <si>
    <t>A1023_Uuk2024 Deploying powerful models in stages (0,49)</t>
  </si>
  <si>
    <t>A0212_Schuett2023</t>
  </si>
  <si>
    <t>Statement about governance structure</t>
  </si>
  <si>
    <t>AGI labs should make public statements about how they make high-stakes decisions regarding model development and deployment.*</t>
  </si>
  <si>
    <t>A0213_Schuett2023</t>
  </si>
  <si>
    <t>Third-party governance audits</t>
  </si>
  <si>
    <t>AGI labs should commission third-party audits of their governance structures.*</t>
  </si>
  <si>
    <t>A0214; A0204;</t>
  </si>
  <si>
    <t>A0214_Schuett2023 Third-party model audits (0,42); A0204_Schuett2023 Red teaming (0,16)</t>
  </si>
  <si>
    <t>A0214_Schuett2023</t>
  </si>
  <si>
    <t>Third-party model audits</t>
  </si>
  <si>
    <t>AGI labs should commission third-party model audits before deploying powerful models.</t>
  </si>
  <si>
    <t>A0213; A0204; A1040;</t>
  </si>
  <si>
    <t>A0213_Schuett2023 Third-party governance audits (0,42); A0204_Schuett2023 Red teaming (0,31); A1040_Uuk2024 Third party pre-deployment model audits (0,23)</t>
  </si>
  <si>
    <t>A0215_Schuett2023</t>
  </si>
  <si>
    <t>Tracking model weights</t>
  </si>
  <si>
    <t>AGI labs should have a system that is intended to track all copies of the weights of powerful models.*</t>
  </si>
  <si>
    <t>A0216_Schuett2023</t>
  </si>
  <si>
    <t>Treat updates similarly to new models</t>
  </si>
  <si>
    <t>AGI labs should treat significant updates to a deployed model (e.g. additional fine-tuning) similarly to its initial development and deployment. In particular, they should repeat the pre-deployment risk assessment.</t>
  </si>
  <si>
    <t>A0219; A0197;</t>
  </si>
  <si>
    <t>A0219_Schuett2023 Internal deployments = external deployments (0,20); A0197_Schuett2023 Pre-deployment risk assessment (0,18)</t>
  </si>
  <si>
    <t>A0217_Schuett2023</t>
  </si>
  <si>
    <t>Chief risk officer</t>
  </si>
  <si>
    <t>AGI labs should have a chief risk officer (CRO), i.e. a senior executive who is responsible for risk management.</t>
  </si>
  <si>
    <t>A0334; A0335; A0096;</t>
  </si>
  <si>
    <t>A0334_Campos2025 Appoint Chief Risk Officer (0,56); A0335_Campos2025 Enterprise Risk Management Function (0,26); A0096_Future of Life Institute2024 Chief Information Security Officer (CISO) (0,20)</t>
  </si>
  <si>
    <t>A0218_Schuett2023</t>
  </si>
  <si>
    <t>Inter-lab scrutinies</t>
  </si>
  <si>
    <t>AGI labs should allow researchers from other labs to scrutinize powerful models before deployment.*</t>
  </si>
  <si>
    <t>A0219_Schuett2023</t>
  </si>
  <si>
    <t>Internal deployments = external deployments</t>
  </si>
  <si>
    <t>AGI labs should treat internal deployments (e.g. using models for writing code) similarly to external deployments. In particular, they should perform a pre-deployment risk assessment.</t>
  </si>
  <si>
    <t>A0216; A0197;</t>
  </si>
  <si>
    <t>A0216_Schuett2023 Treat updates similarly to new models (0,20); A0197_Schuett2023 Pre-deployment risk assessment (0,18)</t>
  </si>
  <si>
    <t>A0220_Schuett2023</t>
  </si>
  <si>
    <t>Notify other labs</t>
  </si>
  <si>
    <t>AGI labs should notify other labs before deploying powerful models.*</t>
  </si>
  <si>
    <t>A0221_Schuett2023</t>
  </si>
  <si>
    <t>Pre-registration of large training runs</t>
  </si>
  <si>
    <t>AGI labs should register upcoming training runs above a certain size with an appropriate state actor.</t>
  </si>
  <si>
    <t>A0042_Eisenberg2025</t>
  </si>
  <si>
    <t>Establish AI system access controls</t>
  </si>
  <si>
    <t>Implement comprehensive access management including role-based access control (RBAC), authentication mechanisms, and audit logging for AI models and associated resources.</t>
  </si>
  <si>
    <t>A0079_Eisenberg2025 Establish AI Risk Management System (0,19)</t>
  </si>
  <si>
    <t>A0043_Eisenberg2025</t>
  </si>
  <si>
    <t>Implement AI asset protection framework</t>
  </si>
  <si>
    <t>Deploy technical protection measures including encryption, secure enclaves, and versioning controls for AI models and associated data.</t>
  </si>
  <si>
    <t>A0067</t>
  </si>
  <si>
    <t>A0067_Eisenberg2025 Implement a privacy protection framework (0,24)</t>
  </si>
  <si>
    <t>A0044_Eisenberg2025</t>
  </si>
  <si>
    <t>Establish security validation framework</t>
  </si>
  <si>
    <t>Execute comprehensive pre-deployment security validation including AI-specific vulnerability assessments, penetration testing, and security requirement verification.</t>
  </si>
  <si>
    <t>A0055; A0053;</t>
  </si>
  <si>
    <t>A0055_Eisenberg2025 Establish and apply fairness testing and vali (0,21); A0053_Eisenberg2025 Establish and apply performance testing and v (0,21)</t>
  </si>
  <si>
    <t>A0045_Eisenberg2025</t>
  </si>
  <si>
    <t>Implement continuous security testing system</t>
  </si>
  <si>
    <t>Deploy ongoing security testing mechanisms including automated vulnerability scanning, continuous security monitoring, and periodic reassessment of security controls.</t>
  </si>
  <si>
    <t>A0046; A0054;</t>
  </si>
  <si>
    <t>A0046_Eisenberg2025 Implement AI security defense system (0,18); A0054_Eisenberg2025 Implement performance monitoring and robustne (0,16)</t>
  </si>
  <si>
    <t>A0046_Eisenberg2025</t>
  </si>
  <si>
    <t>Implement AI security defense system</t>
  </si>
  <si>
    <t>Deploy active defense mechanisms combining continuous security monitoring, input validation, adversarial detection, and adaptive response capabilities specific to AI systems.</t>
  </si>
  <si>
    <t>A0045;</t>
  </si>
  <si>
    <t>A0045_Eisenberg2025 Implement continuous security testing system (0,18)</t>
  </si>
  <si>
    <t>A0047_Eisenberg2025</t>
  </si>
  <si>
    <t>Establish AI system integration framework</t>
  </si>
  <si>
    <t>Define and implement a comprehensive framework for AI system integration including architecture review, compatibility testing, and integration validation processes.</t>
  </si>
  <si>
    <t>A0048_Eisenberg2025</t>
  </si>
  <si>
    <t>Implement AI system lifecycle management</t>
  </si>
  <si>
    <t>Deploy systematic processes for AI system maintenance, updates, and retraining, including version control, deployment pipelines, and performance monitoring to ensure consistent system reliability and performance.</t>
  </si>
  <si>
    <t>A0049_Eisenberg2025</t>
  </si>
  <si>
    <t>Implement scalable AI infrastructure</t>
  </si>
  <si>
    <t>Apply architecture and infrastructure practices to ensure AI systems can scale effectively, including load testing, resource monitoring, and capacity planning to maintain performance under increased demand.</t>
  </si>
  <si>
    <t>A0050_Eisenberg2025</t>
  </si>
  <si>
    <t>Establish AI system documentation framework</t>
  </si>
  <si>
    <t>Implement comprehensive documentation requirements and processes covering training data provenance, system architecture, model cards, and component interactions to ensure transparent documentation of both the data lifecycle and system design.</t>
  </si>
  <si>
    <t>A0005</t>
  </si>
  <si>
    <t>A0005_Bengio2025 Documentation (0,20)</t>
  </si>
  <si>
    <t>A0051_Eisenberg2025</t>
  </si>
  <si>
    <t>Implement AI system monitoring and logging infrastructure</t>
  </si>
  <si>
    <t>Deploy comprehensive monitoring and logging systems that capture AI system behavior, decisions, performance metrics, and real-time data source usage at multiple levels of granularity for full system observability, including tracking of data lineage during inference.</t>
  </si>
  <si>
    <t>A0052_Eisenberg2025</t>
  </si>
  <si>
    <t>Establish AI decision explanation framework</t>
  </si>
  <si>
    <t>Implement mechanisms and tools for generating human-understandable explanations of AI system decisions, including feature importance, decision paths, confidence levels, and clear attribution of data sources and their characteristics used during inference.</t>
  </si>
  <si>
    <t>A0053_Eisenberg2025</t>
  </si>
  <si>
    <t>Establish and apply performance testing and validation framework</t>
  </si>
  <si>
    <t>Implement comprehensive performance requirements, testing protocols, and validation procedures to ensure AI systems meet capability requirements and maintain reliable operation across intended use cases.</t>
  </si>
  <si>
    <t>A0055; A0044;</t>
  </si>
  <si>
    <t>A0055_Eisenberg2025 Establish and apply fairness testing and vali (0,35); A0044_Eisenberg2025 Establish security validation framework (0,21)</t>
  </si>
  <si>
    <t>A0054_Eisenberg2025</t>
  </si>
  <si>
    <t>Implement performance monitoring and robustness system</t>
  </si>
  <si>
    <t>Implement continuous monitoring and testing mechanisms to evaluate AI system robustness, generalization capabilities, and performance stability across varying conditions and environments while in production.</t>
  </si>
  <si>
    <t>A0045</t>
  </si>
  <si>
    <t>A0045_Eisenberg2025 Implement continuous security testing system (0,16)</t>
  </si>
  <si>
    <t>A0055_Eisenberg2025</t>
  </si>
  <si>
    <t>Establish and apply fairness testing and validation framework</t>
  </si>
  <si>
    <t>Implement comprehensive procedures to validate model fairness during development and pre-deployment, including test dataset creation, metric definition, and systematic assessment of performance disparities across demographic groups.</t>
  </si>
  <si>
    <t>A0053; A0044;</t>
  </si>
  <si>
    <t>A0053_Eisenberg2025 Establish and apply performance testing and v (0,35); A0044_Eisenberg2025 Establish security validation framework (0,21)</t>
  </si>
  <si>
    <t>A0056_Eisenberg2025</t>
  </si>
  <si>
    <t>Implement fairness monitoring and remediation system</t>
  </si>
  <si>
    <t>Deploy continuous monitoring systems to detect fairness issues in production, including automated drift detection, performance disparity alerts, and systematic remediation procedures.</t>
  </si>
  <si>
    <t>A0057_Eisenberg2025</t>
  </si>
  <si>
    <t>Establish universal access and performance design framework</t>
  </si>
  <si>
    <t>Establish and follow a structured framework ensuring the AI system is designed and developed to deliver consistent, high-quality performance and accessibility for all intended user groups, regardless of their characteristics or circumstances.</t>
  </si>
  <si>
    <t>A0058_Eisenberg2025</t>
  </si>
  <si>
    <t>Establish content safety policy and boundaries</t>
  </si>
  <si>
    <t>Define and document comprehensive content safety policies, including prohibited content categories, acceptable content guidelines, output constraints, and required safeguards. Establish clear thresholds, classification criteria, and escalation levels for different types of harmful content. Include specific criteria for content that could enable or promote malicious use.</t>
  </si>
  <si>
    <t>A0060</t>
  </si>
  <si>
    <t>A0060_Eisenberg2025 Implement content safety incident response (0,16)</t>
  </si>
  <si>
    <t>A0059_Eisenberg2025</t>
  </si>
  <si>
    <t>Implement content moderation system</t>
  </si>
  <si>
    <t>Implement automated and/or human-in-the-loop content moderation mechanisms to detect and filter harmful content in real-time, including content classification, blocking procedures, and automated enforcement of safety boundaries. Include detection of potential malicious use patterns.</t>
  </si>
  <si>
    <t>A0060_Eisenberg2025 Implement content safety incident response (0,19)</t>
  </si>
  <si>
    <t>A0060_Eisenberg2025</t>
  </si>
  <si>
    <t>Implement content safety incident response</t>
  </si>
  <si>
    <t>Establish procedures for investigating, documenting, and remediating harmful content incidents that bypass moderation systems, including coordination with relevant authorities, root cause analysis, and system improvement protocols. Include specific procedures for suspected malicious use cases.</t>
  </si>
  <si>
    <t>A0059; A0058; A0409;</t>
  </si>
  <si>
    <t>A0059_Eisenberg2025 Implement content moderation system (0,19); A0058_Eisenberg2025 Establish content safety policy and boundarie (0,16); A0409_NIST2024 Incident Response Teams (0,15)</t>
  </si>
  <si>
    <t>A0061_Eisenberg2025</t>
  </si>
  <si>
    <t>Establish information quality assurance framework</t>
  </si>
  <si>
    <t>Implement comprehensive mechanisms to assess, verify, and improve the factual accuracy of AI system outputs, including source validation, fact-checking procedures, and uncertainty communication protocols.</t>
  </si>
  <si>
    <t>A0456</t>
  </si>
  <si>
    <t>A0456_NIST2024 Fact-Checking Deployment (0,17)</t>
  </si>
  <si>
    <t>A0062_Eisenberg2025</t>
  </si>
  <si>
    <t>Establish frontier AI safety framework</t>
  </si>
  <si>
    <t>Establish and enforce policies governing system AI scaling decisions, including risk assessment requirements, capability thresholds, and deployment constraints. Define clear criteria for when and how system capabilities can be expanded based on safety considerations.</t>
  </si>
  <si>
    <t>A0063_Eisenberg2025</t>
  </si>
  <si>
    <t>Implement adversarial testing and red team program</t>
  </si>
  <si>
    <t>Conduct systematic adversarial testing and red team exercises focused on probing AI system capabilities, identifying potential misuse vectors, and exposing unintended harmful behaviors. Testing should explore ways the system could be manipulated to produce dangerous outputs, bypass safety guardrails, or exhibit undesired emergent behaviors. Include scenarios involving both individual and coordinated attempts to exploit the system’s capabilities.</t>
  </si>
  <si>
    <t>A0458</t>
  </si>
  <si>
    <t>A0458_NIST2024 Adversarial Testing Plans (0,17)</t>
  </si>
  <si>
    <t>A0064_Eisenberg2025</t>
  </si>
  <si>
    <t>Implement system usage monitoring and prevention</t>
  </si>
  <si>
    <t>Monitor and prevent malicious or otherwise disallowed behavioral patterns including automated abuse, coordination across accounts, and systematic manipulation attempts.</t>
  </si>
  <si>
    <t>A0065_Eisenberg2025</t>
  </si>
  <si>
    <t>Implement AI system usage verification program</t>
  </si>
  <si>
    <t>Deploy comprehensive measures to verify user identity, document intended use cases, and ensure AI system usage complies with instructions. This includes KYC procedures for user verification, clear documentation of permitted uses, and user acknowledgment of instructions.</t>
  </si>
  <si>
    <t>A0066_Eisenberg2025</t>
  </si>
  <si>
    <t>Implement AI System Disclosure Requirements</t>
  </si>
  <si>
    <t>Deploy mechanisms to ensure clear, timely disclosure of AI system use to end users, including automated notifications of AI involvement in interactions, explicit identification of AI-generated content, and clear communication of when users are interacting with AI systems.</t>
  </si>
  <si>
    <t>A0067_Eisenberg2025</t>
  </si>
  <si>
    <t>Implement a privacy protection framework</t>
  </si>
  <si>
    <t>Implement comprehensive privacy protection measures to prevent exposure of PII and sensitive information, including data minimization, anonymization procedures, and privacy-preserving inference techniques.</t>
  </si>
  <si>
    <t>A0043; A0068;</t>
  </si>
  <si>
    <t>A0043_Eisenberg2025 Implement AI asset protection framework (0,24); A0068_Eisenberg2025 Implement a privacy incident detection and re (0,18)</t>
  </si>
  <si>
    <t>A0068_Eisenberg2025</t>
  </si>
  <si>
    <t>Implement a privacy incident detection and response</t>
  </si>
  <si>
    <t>Deploy monitoring and response mechanisms to detect and address potential privacy exposures, including PII leak detection, sensitive information monitoring, and privacy incident handling procedures.</t>
  </si>
  <si>
    <t>A0067_Eisenberg2025 Implement a privacy protection framework (0,18)</t>
  </si>
  <si>
    <t>Implement comprehensive mechanisms for user reporting, feedback collection, incident investigation, and recourse provision, including clear procedures for users to report issues, request explanations or corrections, appeal decisions, and receive appropriate remediation. The system should handle various types of user concerns including system errors, unfair treatment, privacy violations, and safety issues.</t>
  </si>
  <si>
    <t>A0070_Eisenberg2025</t>
  </si>
  <si>
    <t>Implement AI literacy and competency program</t>
  </si>
  <si>
    <t>Implement comprehensive training and education programs to ensure personnel develop and maintain appropriate levels of AI literacy, risk awareness, and operational competency. This includes role-based training on AI capabilities, limitations, safety protocols, ethical considerations, and proper system usage.</t>
  </si>
  <si>
    <t>A0071_Eisenberg2025</t>
  </si>
  <si>
    <t>Establish human-AI interaction safety framework</t>
  </si>
  <si>
    <t>Implement comprehensive safeguards to ensure appropriate levels of human oversight, control, and agency in AI system interactions, including decision autonomy requirements, override capabilities, and dependency prevention measures.</t>
  </si>
  <si>
    <t>A0072_Eisenberg2025</t>
  </si>
  <si>
    <t>Implement psychological impact management system</t>
  </si>
  <si>
    <t>Establish monitoring and intervention procedures to detect and prevent unhealthy user-AI relationships, including emotional dependency tracking, interaction boundary enforcement, and well-being safeguards.</t>
  </si>
  <si>
    <t>A0073_Eisenberg2025 Implement environmental impact management sys (0,20)</t>
  </si>
  <si>
    <t>A0073_Eisenberg2025</t>
  </si>
  <si>
    <t>Implement environmental impact management system</t>
  </si>
  <si>
    <t>Implement comprehensive environmental impact monitoring and optimization procedures, including energy efficiency measures, carbon footprint tracking, and hardware lifecycle management.</t>
  </si>
  <si>
    <t>A0683; A0072; A0713;</t>
  </si>
  <si>
    <t>A0683_Barrett2024 Assess Environmental Impact (0,24); A0072_Eisenberg2025 Implement psychological impact management sys (0,20); A0713_NIST2024 Environmental Impact Assessment (0,17)</t>
  </si>
  <si>
    <t>Establish comprehensive procedures for documenting, assessing, and managing upstream providers and dependencies in the AI system value chain, including transparency requirements, compliance verification, dependency tracking, and contingency planning.</t>
  </si>
  <si>
    <t>A0075_Eisenberg2025</t>
  </si>
  <si>
    <t>Establish AI legal compliance process</t>
  </si>
  <si>
    <t>Evaluate and document how the AI system complies with relevant regulations and standards, identifying use case-specific legal risks and required controls. Apply the organization’s legal compliance framework to ensure appropriate safeguards are in place, with clear documentation of compliance assessments and risk mitigations.</t>
  </si>
  <si>
    <t>A0633</t>
  </si>
  <si>
    <t>A0633_Barrett2024 Ensure Legal Compliance (0,22)</t>
  </si>
  <si>
    <t>A0076_Eisenberg2025</t>
  </si>
  <si>
    <t>Establish societal impact assessment framework</t>
  </si>
  <si>
    <t>Implement comprehensive processes for assessing and documenting potential societal impacts of AI systems, including effects on employment, economic systems, power dynamics, and cultural value. Include stakeholder consultation and impact mitigation planning.</t>
  </si>
  <si>
    <t>A0885; A0886;</t>
  </si>
  <si>
    <t>A0885_UK Government2023 Third Party Knowledge for AI systems' Downstr (0,17); A0886_UK Government2023 Societal Impact Informed Risk Assessments (0,15)</t>
  </si>
  <si>
    <t>A0077_Eisenberg2025</t>
  </si>
  <si>
    <t>Establish responsible development and deployment policy</t>
  </si>
  <si>
    <t>Establish policies and procedures governing AI system development and deployment decisions that consider societal implications, including competitive pressures, governance gaps, and benefit distribution.</t>
  </si>
  <si>
    <t>A0078_Eisenberg2025</t>
  </si>
  <si>
    <t>Implement AI alignment validation system</t>
  </si>
  <si>
    <t>Establish processes for validating and maintaining AI system alignment with human values and goals, including testing for goal preservation, monitoring for objective drift, and validation of decision-making processes against ethical standards. Includes specific attention to detecting and preventing potentially misaligned behaviors, emergent goals, or deceptive actions. Covers using interpretability techniques to measure and assure alignment with intended goals.</t>
  </si>
  <si>
    <t>A0079_Eisenberg2025</t>
  </si>
  <si>
    <t>Establish AI Risk Management System</t>
  </si>
  <si>
    <t>Implement a comprehensive AI risk management system including risk assessment processes, monitoring frameworks, governance structures, and response procedures.</t>
  </si>
  <si>
    <t>A0084; A0042; A0641;</t>
  </si>
  <si>
    <t>A0084_Future of Life Institute2024 Adopted Risk Management Frameworks (0,21); A0042_Eisenberg2025 Establish AI system access controls (0,19); A0641_Barrett2024 Train on AI Risk (0,18)</t>
  </si>
  <si>
    <t>Implement data governance measures used for training, including having a copyright policy and identifying and documenting data sources, potential biases, and mitigations taken.</t>
  </si>
  <si>
    <t>A0081_Eisenberg2025</t>
  </si>
  <si>
    <t>Establish documentation sharing mechanism</t>
  </si>
  <si>
    <t>Implement a process to share information and documentation to third-parties, including to regulators and downstream deployers or developers.</t>
  </si>
  <si>
    <t>A0082</t>
  </si>
  <si>
    <t>A0082_Eisenberg2025 Implement a risk reporting mechanism (0,15)</t>
  </si>
  <si>
    <t>A0082_Eisenberg2025</t>
  </si>
  <si>
    <t>Implement a risk reporting mechanism</t>
  </si>
  <si>
    <t>Establish processes to identify and disclose known or reasonably foreseeable risks, the discovery of new risks, or instances of non-conformity to third parties.</t>
  </si>
  <si>
    <t>A0081; A0083;</t>
  </si>
  <si>
    <t>A0081_Eisenberg2025 Establish documentation sharing mechanism (0,15); A0083_Eisenberg2025 Establish a general purpose incident response (0,15)</t>
  </si>
  <si>
    <t>A0083_Eisenberg2025</t>
  </si>
  <si>
    <t>Establish a general purpose incident response mechanism</t>
  </si>
  <si>
    <t>Establish processes to enable incident monitoring and reporting. This includes defining ”serious incidents” or set a threshold for formal reporting based on regulatory requirements to third-parties, regulators, and impacted individuals.</t>
  </si>
  <si>
    <t>A1018_Uuk2024</t>
  </si>
  <si>
    <t>Advanced model access for vetted external researchers</t>
  </si>
  <si>
    <t>Examples of advanced access rights could include any of the following: increased control over sampling, access to fine-tuning functionality, the ability to inspect and modify model internals, access to training data, or additional features like stable model versions.</t>
  </si>
  <si>
    <t>A1019_Uuk2024</t>
  </si>
  <si>
    <t>Adversarial Robustness</t>
  </si>
  <si>
    <t>State-of-the-art methods such as adversarial training to make models robust to adversarial attacks (e.g., jailbreaking).</t>
  </si>
  <si>
    <t>A0821; A0936;</t>
  </si>
  <si>
    <t>A0821_UK Government2023 Model Robustness to Adversarial Attacks (0,25); A0936_Gipiškis2024 Adversarial training (0,17)</t>
  </si>
  <si>
    <t>A1020_Uuk2024</t>
  </si>
  <si>
    <t>Clear and user-friendly bug bounty programs that acknowledge and reward individuals for reporting model vulnerabilities and dangerous capabilities.</t>
  </si>
  <si>
    <t>A0177; A0093;</t>
  </si>
  <si>
    <t>A0177_Schuett2023 Bug bounty programs (0,62); A0093_Future of Life Institute2024 Bug bounties for model vulnerabilities (0,22)</t>
  </si>
  <si>
    <t>A1021_Uuk2024</t>
  </si>
  <si>
    <t>Capability restrictions</t>
  </si>
  <si>
    <t>Restricting risky capabilities of deployed models, such as advanced autonomy (e.g., self-assigning new sub-goals, executing long-horizon tasks) or tool use functionalities (e.g., function calls, web browsing).</t>
  </si>
  <si>
    <t>A1022_Uuk2024</t>
  </si>
  <si>
    <t>Data curation</t>
  </si>
  <si>
    <t>Careful data curation prior to all development stages (including fine-tuning) to filter out high-risk content and ensure the training data is sufficiently high-quality.</t>
  </si>
  <si>
    <t>A0468</t>
  </si>
  <si>
    <t>A0468_NIST2024 Training Data Curation (0,32)</t>
  </si>
  <si>
    <t>A1023_Uuk2024</t>
  </si>
  <si>
    <t>Deploying powerful models in stages</t>
  </si>
  <si>
    <t>Starting with a small number of applications and fewer users, and gradually scaling up API-access as rigorous monitoring increases confidence in the model's safety. An API-mediated staged release would also be required before open-sourcing a model.</t>
  </si>
  <si>
    <t>A0211; A0204; A0214;</t>
  </si>
  <si>
    <t>A0211_Schuett2023 Staged deployment (0,49); A0204_Schuett2023 Red teaming (0,17); A0214_Schuett2023 Third-party model audits (0,16)</t>
  </si>
  <si>
    <t>A1024_Uuk2024</t>
  </si>
  <si>
    <t>External assessment of testing procedure</t>
  </si>
  <si>
    <t>Bringing in external AI evaluation firms before deployment to assess and red-team the company's execution of dangerous capabilities evaluations.</t>
  </si>
  <si>
    <t>A1025_Uuk2024</t>
  </si>
  <si>
    <t>Fine-tuning restrictions</t>
  </si>
  <si>
    <t>Restricting or closely monitoring fine-tuning access to models to ensure safeguards remain intact.</t>
  </si>
  <si>
    <t>A1026_Uuk2024</t>
  </si>
  <si>
    <t>Harmlessness training</t>
  </si>
  <si>
    <t>State-of-the-art reinforcement learning and fine-tuning techniques, such as Reinforcement Learning from Human Feedback (RLHF) or Direct Preference Optimization (DPO), to ensure models do not engage in unsafe behavior.</t>
  </si>
  <si>
    <t>A1027_Uuk2024</t>
  </si>
  <si>
    <t>Input and output filtering</t>
  </si>
  <si>
    <t>Monitoring for dangerous outputs (e.g., code that appears to be malware or viral genome sequences) and inputs that violate acceptable use policies to ensure models do not engage in harmful behavior.</t>
  </si>
  <si>
    <t>A1028_Uuk2024</t>
  </si>
  <si>
    <t>Intolerable risk thresholds</t>
  </si>
  <si>
    <t>Assessing and monitoring AI models with regard to red-line risk or capability thresholds set by a third-party, such as a standardization organization or regulator. Companies would further need to make technical, legal, and organizational preparations to halt development and deployment immediately when a breach occurs.</t>
  </si>
  <si>
    <t>A1029_Uuk2024</t>
  </si>
  <si>
    <t>KYC screenings</t>
  </si>
  <si>
    <t>Know-your-customer (KYC) screenings before granting access to models with very high misuse potential or to users producing large amounts of output.</t>
  </si>
  <si>
    <t>A1030_Uuk2024</t>
  </si>
  <si>
    <t>Pre-deployment risk assessments</t>
  </si>
  <si>
    <t>Comprehensive risk assessments before deployment that would assess reasonably foreseeable misuse and include dangerous capability evaluations that incorporate post-training enhancements and collaborations with domain experts. Risk assessments would inform deployment decisions.</t>
  </si>
  <si>
    <t>A0765; A0927; A0197;</t>
  </si>
  <si>
    <t>A0765_UK Government2023 Pre-Deployment Risk Assessments (0,33); A0927_UK Government2023 Input Data Audits for Pre-Development/deploym (0,23); A0197_Schuett2023 Pre-deployment risk assessment (0,18)</t>
  </si>
  <si>
    <t>A1031_Uuk2024</t>
  </si>
  <si>
    <t>Comprehensive risk assessments based on forecasted capabilities before training new models. Risk assessments would inform impactful development decisions.</t>
  </si>
  <si>
    <t>A1032_Uuk2024</t>
  </si>
  <si>
    <t>Registering upcoming training runs above a certain size with an appropriate state actor. Such reports could include descriptions of architecture, training compute, data collection and curation, training objectives and techniques, and planned risk management procedures.</t>
  </si>
  <si>
    <t>A1033_Uuk2024</t>
  </si>
  <si>
    <t>Prohibiting high-stakes applications</t>
  </si>
  <si>
    <t>Enforcing use policies that prohibit high-stakes applications. Requires Know-Your-Customer procedures.</t>
  </si>
  <si>
    <t>A0123</t>
  </si>
  <si>
    <t>A0123_Future of Life Institute2024 Internal review of high-stakes deployment dec (0,18)</t>
  </si>
  <si>
    <t>A1034_Uuk2024</t>
  </si>
  <si>
    <t>Risk-focused governance structures</t>
  </si>
  <si>
    <t>Companies adopt practices typical of high-reliability organizations (HROs), including board risk committees, chief risk officers, multi-party authorization requirements, ethics boards for reviewing development and deployment decisions, and internal audit teams that report directly to the board, tasked with auditing risk management practices.</t>
  </si>
  <si>
    <t>A0185</t>
  </si>
  <si>
    <t>A0185_Schuett2023 Internal audit (0,19)</t>
  </si>
  <si>
    <t>A1035_Uuk2024</t>
  </si>
  <si>
    <t>Safety Drills</t>
  </si>
  <si>
    <t>Regularly practicing the implementation of an emergency response plan to stress test the organization's ability to respond to reasonably foreseeable, fast-moving emergency scenarios.</t>
  </si>
  <si>
    <t>A0180; A0110;</t>
  </si>
  <si>
    <t>A0180_Schuett2023 Emergency response plan (0,23); A0110_Future of Life Institute2024 Emergency Rollback Plan (0,22)</t>
  </si>
  <si>
    <t>A1036_Uuk2024</t>
  </si>
  <si>
    <t>Safety incident reports and security information sharing</t>
  </si>
  <si>
    <t>Disclosing reports about AI incidents, such as concrete harms and near misses as well as cyber threat intelligence and security incident reports with appropriate stakeholders such as select governments.</t>
  </si>
  <si>
    <t>A1037;</t>
  </si>
  <si>
    <t>A1037_Uuk2024 Safety incident reports and security informat (1,00)</t>
  </si>
  <si>
    <t>A1037_Uuk2024</t>
  </si>
  <si>
    <t>A1036</t>
  </si>
  <si>
    <t>A1036_Uuk2024 Safety incident reports and security informat (1,00)</t>
  </si>
  <si>
    <t>A1038_Uuk2024</t>
  </si>
  <si>
    <t>Safety vs. capabilities investments</t>
  </si>
  <si>
    <t xml:space="preserve">A significant fraction of employees and computational resources are dedicated to enhancing model safety rather than advancing its capabilities.  </t>
  </si>
  <si>
    <t>A1039_Uuk2024</t>
  </si>
  <si>
    <t>Sharing safety cases</t>
  </si>
  <si>
    <t>Disclosing to a regulator how high-stakes decisions regarding model development and deployment are made.</t>
  </si>
  <si>
    <t>A1040_Uuk2024</t>
  </si>
  <si>
    <t>Third party pre-deployment model audits</t>
  </si>
  <si>
    <t>External pre-deployment assessment to provide a judgment on the safety of a model. Auditors, which could be governments or independent third parties, would receive access to a fine-tuning API for testing, or further appropriate technical means.</t>
  </si>
  <si>
    <t>A0214; A0137;</t>
  </si>
  <si>
    <t>A0214_Schuett2023 Third-party model audits (0,23); A0137_Future of Life Institute2024 Pre-deployment external safety testing (0,20)</t>
  </si>
  <si>
    <t>A1041_Uuk2024</t>
  </si>
  <si>
    <t>Transparent governance structures</t>
  </si>
  <si>
    <t>A1042_Uuk2024</t>
  </si>
  <si>
    <t>Unlearning Techniques</t>
  </si>
  <si>
    <t>Removing specific harmful capabilities (e.g., pathogen design) from models using unlearning techniques.</t>
  </si>
  <si>
    <t>A1043_Uuk2024</t>
  </si>
  <si>
    <t>Vetted researcher access</t>
  </si>
  <si>
    <t>Giving good faith, public interest evaluation researchers access to black-box research APIs that provide technical and legal safe harbours to limit barriers imposed by usage policy enforcement, logging, and stringent terms of service.</t>
  </si>
  <si>
    <t>A1044_Uuk2024</t>
  </si>
  <si>
    <t>Refraining from restrictive non-disparagement agreements and instantiating comprehensive whistleblower protection policies that clearly outline relevant reporting processes, protection mechanisms, and non-retaliation assurances.</t>
  </si>
  <si>
    <t>A0104; A0412; A0022;</t>
  </si>
  <si>
    <t>A0104_Future of Life Institute2024 Comprehensive whistleblower protection policy (0,41); A0412_NIST2024 Whistleblower Protection (0,18); A0022_Bengio2025 Whistleblower protection (0,16)</t>
  </si>
  <si>
    <t>A1045_Uuk2024</t>
  </si>
  <si>
    <t>Advanced information security</t>
  </si>
  <si>
    <t>Implementing advanced cybersecurity measures and insider threat safeguards to protect proprietary and unreleased model weights.</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</si>
</sst>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0.0"/>
      <color rgb="FFFFFFFF"/>
      <name val="Arial"/>
    </font>
    <font>
      <b/>
      <sz val="10.0"/>
      <color theme="1"/>
      <name val="Arial"/>
    </font>
    <font>
      <sz val="11.0"/>
      <color theme="1"/>
      <name val="Calibri"/>
    </font>
    <font>
      <b/>
      <sz val="10.0"/>
      <color rgb="FF1F3864"/>
      <name val="Arial"/>
    </font>
    <font>
      <sz val="10.0"/>
      <color theme="1"/>
      <name val="Arial"/>
    </font>
    <font>
      <b/>
      <sz val="14.0"/>
      <color rgb="FF1F3864"/>
      <name val="Arial"/>
    </font>
    <font>
      <color theme="1"/>
      <name val="Calibri"/>
      <scheme val="minor"/>
    </font>
  </fonts>
  <fills count="10">
    <fill>
      <patternFill patternType="none"/>
    </fill>
    <fill>
      <patternFill patternType="lightGray"/>
    </fill>
    <fill>
      <patternFill patternType="solid">
        <fgColor rgb="FF1F3864"/>
        <bgColor rgb="FF1F3864"/>
      </patternFill>
    </fill>
    <fill>
      <patternFill patternType="solid">
        <fgColor rgb="FFDDEBF7"/>
        <bgColor rgb="FFDDEBF7"/>
      </patternFill>
    </fill>
    <fill>
      <patternFill patternType="solid">
        <fgColor rgb="FFD9E1F2"/>
        <bgColor rgb="FFD9E1F2"/>
      </patternFill>
    </fill>
    <fill>
      <patternFill patternType="solid">
        <fgColor rgb="FFE7E6E6"/>
        <bgColor rgb="FFE7E6E6"/>
      </patternFill>
    </fill>
    <fill>
      <patternFill patternType="solid">
        <fgColor rgb="FFFFFFFF"/>
        <bgColor rgb="FFFFFFFF"/>
      </patternFill>
    </fill>
    <fill>
      <patternFill patternType="solid">
        <fgColor rgb="FFFFFF00"/>
        <bgColor rgb="FFFFFF00"/>
      </patternFill>
    </fill>
    <fill>
      <patternFill patternType="solid">
        <fgColor rgb="FF00FF00"/>
        <bgColor rgb="FF00FF00"/>
      </patternFill>
    </fill>
    <fill>
      <patternFill patternType="solid">
        <fgColor rgb="FFF3F3F3"/>
        <bgColor rgb="FFF3F3F3"/>
      </patternFill>
    </fill>
  </fills>
  <borders count="3">
    <border/>
    <border>
      <left style="thin">
        <color rgb="FFBFBFBF"/>
      </left>
      <right style="thin">
        <color rgb="FFBFBFBF"/>
      </right>
      <top style="thin">
        <color rgb="FFBFBFBF"/>
      </top>
      <bottom style="thin">
        <color rgb="FFBFBFBF"/>
      </bottom>
    </border>
    <border>
      <left/>
      <right/>
      <top/>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ill="1" applyFont="1">
      <alignment readingOrder="0" shrinkToFit="0" vertical="center" wrapText="1"/>
    </xf>
    <xf borderId="0" fillId="0" fontId="2" numFmtId="0" xfId="0" applyAlignment="1" applyFont="1">
      <alignment shrinkToFit="0" vertical="bottom" wrapText="0"/>
    </xf>
    <xf borderId="0" fillId="0" fontId="3" numFmtId="0" xfId="0" applyAlignment="1" applyFont="1">
      <alignment shrinkToFit="0" vertical="bottom" wrapText="0"/>
    </xf>
    <xf borderId="1" fillId="3" fontId="4" numFmtId="0" xfId="0" applyAlignment="1" applyBorder="1" applyFill="1" applyFont="1">
      <alignment shrinkToFit="0" vertical="center" wrapText="1"/>
    </xf>
    <xf borderId="0" fillId="0" fontId="3" numFmtId="0" xfId="0" applyAlignment="1" applyFont="1">
      <alignment shrinkToFit="0" vertical="center" wrapText="0"/>
    </xf>
    <xf borderId="1" fillId="0" fontId="5" numFmtId="0" xfId="0" applyAlignment="1" applyBorder="1" applyFont="1">
      <alignment shrinkToFit="0" vertical="center" wrapText="1"/>
    </xf>
    <xf borderId="0" fillId="0" fontId="6" numFmtId="0" xfId="0" applyAlignment="1" applyFont="1">
      <alignment shrinkToFit="0" vertical="center" wrapText="1"/>
    </xf>
    <xf borderId="1" fillId="2" fontId="1" numFmtId="0" xfId="0" applyAlignment="1" applyBorder="1" applyFill="1" applyFont="1">
      <alignment horizontal="center" shrinkToFit="0" vertical="center" wrapText="1"/>
    </xf>
    <xf borderId="0" fillId="0" fontId="3" numFmtId="0" xfId="0" applyAlignment="1" applyFont="1">
      <alignment shrinkToFit="0" vertical="center" wrapText="1"/>
    </xf>
    <xf borderId="1" fillId="0" fontId="5" numFmtId="0" xfId="0" applyAlignment="1" applyBorder="1" applyFont="1">
      <alignment readingOrder="0" shrinkToFit="0" vertical="center" wrapText="1"/>
    </xf>
    <xf borderId="2" fillId="2" fontId="1" numFmtId="0" xfId="0" applyAlignment="1" applyBorder="1" applyFill="1" applyFont="1">
      <alignment shrinkToFit="0" vertical="bottom" wrapText="0"/>
    </xf>
    <xf borderId="1" fillId="4" fontId="2" numFmtId="0" xfId="0" applyAlignment="1" applyBorder="1" applyFill="1" applyFont="1">
      <alignment shrinkToFit="0" vertical="center" wrapText="1"/>
    </xf>
    <xf borderId="1" fillId="5" fontId="5" numFmtId="0" xfId="0" applyAlignment="1" applyBorder="1" applyFill="1" applyFont="1">
      <alignment shrinkToFit="0" vertical="center" wrapText="1"/>
    </xf>
    <xf borderId="0" fillId="0" fontId="5" numFmtId="0" xfId="0" applyAlignment="1" applyFont="1">
      <alignment shrinkToFit="0" vertical="bottom" wrapText="0"/>
    </xf>
    <xf borderId="1" fillId="3" fontId="5" numFmtId="0" xfId="0" applyAlignment="1" applyBorder="1" applyFill="1" applyFont="1">
      <alignment shrinkToFit="0" vertical="center" wrapText="1"/>
    </xf>
    <xf borderId="1" fillId="6" fontId="5" numFmtId="0" xfId="0" applyAlignment="1" applyBorder="1" applyFill="1" applyFont="1">
      <alignment readingOrder="0" shrinkToFit="0" vertical="center" wrapText="1"/>
    </xf>
    <xf borderId="1" fillId="4" fontId="2" numFmtId="0" xfId="0" applyAlignment="1" applyBorder="1" applyFill="1" applyFont="1">
      <alignment readingOrder="0" shrinkToFit="0" vertical="center" wrapText="1"/>
    </xf>
    <xf borderId="1" fillId="0" fontId="5" numFmtId="0" xfId="0" applyAlignment="1" applyBorder="1" applyFont="1">
      <alignment horizontal="center" readingOrder="0" shrinkToFit="0" vertical="center" wrapText="1"/>
    </xf>
    <xf borderId="0" fillId="4" fontId="2" numFmtId="0" xfId="0" applyAlignment="1" applyFill="1" applyFont="1">
      <alignment shrinkToFit="0" vertical="center" wrapText="1"/>
    </xf>
    <xf borderId="0" fillId="4" fontId="5" numFmtId="0" xfId="0" applyAlignment="1" applyFill="1" applyFont="1">
      <alignment shrinkToFit="0" vertical="center" wrapText="1"/>
    </xf>
    <xf borderId="1" fillId="0" fontId="5" numFmtId="0" xfId="0" applyAlignment="1" applyBorder="1" applyFont="1">
      <alignment shrinkToFit="0" vertical="center" wrapText="1"/>
    </xf>
    <xf borderId="1" fillId="0" fontId="2" numFmtId="0" xfId="0" applyAlignment="1" applyBorder="1" applyFont="1">
      <alignment readingOrder="0" shrinkToFit="0" vertical="center" wrapText="1"/>
    </xf>
    <xf borderId="1" fillId="5" fontId="5" numFmtId="0" xfId="0" applyAlignment="1" applyBorder="1" applyFill="1" applyFont="1">
      <alignment horizontal="left" shrinkToFit="0" vertical="center" wrapText="1"/>
    </xf>
    <xf borderId="1" fillId="0" fontId="5" numFmtId="0" xfId="0" applyAlignment="1" applyBorder="1" applyFont="1">
      <alignment horizontal="left" readingOrder="0" shrinkToFit="0" vertical="center" wrapText="1"/>
    </xf>
    <xf borderId="0" fillId="0" fontId="7" numFmtId="0" xfId="0" applyAlignment="1" applyFont="1">
      <alignment horizontal="left" readingOrder="0" shrinkToFit="0" vertical="center" wrapText="1"/>
    </xf>
    <xf borderId="0" fillId="0" fontId="5" numFmtId="0" xfId="0" applyAlignment="1" applyFont="1">
      <alignment horizontal="left" readingOrder="0" shrinkToFit="0" vertical="center" wrapText="1"/>
    </xf>
    <xf borderId="1" fillId="5" fontId="5" numFmtId="0" xfId="0" applyAlignment="1" applyBorder="1" applyFill="1" applyFont="1">
      <alignment horizontal="left" readingOrder="0" shrinkToFit="0" vertical="center" wrapText="1"/>
    </xf>
    <xf borderId="1" fillId="0" fontId="5" numFmtId="0" xfId="0" applyAlignment="1" applyBorder="1" applyFont="1">
      <alignment horizontal="left" shrinkToFit="0" vertical="center" wrapText="1"/>
    </xf>
    <xf borderId="0" fillId="0" fontId="3" numFmtId="0" xfId="0" applyAlignment="1" applyFont="1">
      <alignment horizontal="left" shrinkToFit="0" vertical="center" wrapText="1"/>
    </xf>
    <xf borderId="1" fillId="7" fontId="5" numFmtId="0" xfId="0" applyAlignment="1" applyBorder="1" applyFill="1" applyFont="1">
      <alignment shrinkToFit="0" vertical="center" wrapText="1"/>
    </xf>
    <xf borderId="1" fillId="7" fontId="5" numFmtId="0" xfId="0" applyAlignment="1" applyBorder="1" applyFill="1" applyFont="1">
      <alignment readingOrder="0" shrinkToFit="0" vertical="center" wrapText="1"/>
    </xf>
    <xf borderId="2" fillId="7" fontId="3" numFmtId="0" xfId="0" applyAlignment="1" applyBorder="1" applyFill="1" applyFont="1">
      <alignment shrinkToFit="0" vertical="center" wrapText="0"/>
    </xf>
    <xf borderId="1" fillId="5" fontId="5" numFmtId="0" xfId="0" applyAlignment="1" applyBorder="1" applyFill="1" applyFont="1">
      <alignment readingOrder="0" shrinkToFit="0" vertical="center" wrapText="1"/>
    </xf>
    <xf borderId="0" fillId="0" fontId="6" numFmtId="0" xfId="0" applyAlignment="1" applyFont="1">
      <alignment shrinkToFit="0" vertical="bottom" wrapText="0"/>
    </xf>
    <xf borderId="0" fillId="0" fontId="5" numFmtId="0" xfId="0" applyAlignment="1" applyFont="1">
      <alignment shrinkToFit="0" vertical="top" wrapText="1"/>
    </xf>
    <xf borderId="1" fillId="2" fontId="1" numFmtId="0" xfId="0" applyAlignment="1" applyBorder="1" applyFill="1" applyFont="1">
      <alignment shrinkToFit="0" vertical="bottom" wrapText="0"/>
    </xf>
    <xf borderId="1" fillId="4" fontId="2" numFmtId="0" xfId="0" applyAlignment="1" applyBorder="1" applyFill="1" applyFont="1">
      <alignment shrinkToFit="0" vertical="top" wrapText="1"/>
    </xf>
    <xf borderId="1" fillId="0" fontId="5" numFmtId="0" xfId="0" applyAlignment="1" applyBorder="1" applyFont="1">
      <alignment shrinkToFit="0" vertical="top" wrapText="1"/>
    </xf>
    <xf borderId="1" fillId="4" fontId="2" numFmtId="0" xfId="0" applyAlignment="1" applyBorder="1" applyFill="1" applyFont="1">
      <alignment shrinkToFit="0" vertical="bottom" wrapText="0"/>
    </xf>
    <xf borderId="1" fillId="0" fontId="5" numFmtId="0" xfId="0" applyAlignment="1" applyBorder="1" applyFont="1">
      <alignment horizontal="center" shrinkToFit="0" vertical="bottom" wrapText="0"/>
    </xf>
    <xf quotePrefix="1" borderId="1" fillId="0" fontId="5" numFmtId="0" xfId="0" applyAlignment="1" applyBorder="1" applyFont="1">
      <alignment readingOrder="0" shrinkToFit="0" vertical="center" wrapText="1"/>
    </xf>
    <xf borderId="1" fillId="0" fontId="5" numFmtId="0" xfId="0" applyAlignment="1" applyBorder="1" applyFont="1">
      <alignment shrinkToFit="0" vertical="bottom" wrapText="0"/>
    </xf>
    <xf borderId="1" fillId="0" fontId="5" numFmtId="9" xfId="0" applyAlignment="1" applyBorder="1" applyFont="1" applyNumberFormat="1">
      <alignment shrinkToFit="0" vertical="bottom" wrapText="0"/>
    </xf>
    <xf borderId="1" fillId="0" fontId="5" numFmtId="0" xfId="0" applyAlignment="1" applyBorder="1" applyFont="1">
      <alignment horizontal="center" shrinkToFit="0" vertical="center" wrapText="1"/>
    </xf>
    <xf borderId="1" fillId="8" fontId="5" numFmtId="0" xfId="0" applyAlignment="1" applyBorder="1" applyFill="1" applyFont="1">
      <alignment readingOrder="0" shrinkToFit="0" vertical="center" wrapText="1"/>
    </xf>
    <xf borderId="1" fillId="0" fontId="3" numFmtId="0" xfId="0" applyAlignment="1" applyBorder="1" applyFont="1">
      <alignment shrinkToFit="0" vertical="bottom" wrapText="0"/>
    </xf>
    <xf borderId="0" fillId="0" fontId="3" numFmtId="0" xfId="0" applyAlignment="1" applyFont="1">
      <alignment horizontal="center" shrinkToFit="0" vertical="center" wrapText="1"/>
    </xf>
    <xf borderId="0" fillId="9" fontId="3" numFmtId="0" xfId="0" applyAlignment="1" applyFill="1" applyFont="1">
      <alignment shrinkToFit="0" vertical="center"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2">
    <tableStyle count="3" pivot="0" name="Instruções-style">
      <tableStyleElement dxfId="1" type="headerRow"/>
      <tableStyleElement dxfId="2" type="firstRowStripe"/>
      <tableStyleElement dxfId="3" type="secondRowStripe"/>
    </tableStyle>
    <tableStyle count="3" pivot="0" name="Instruções-style 2">
      <tableStyleElement dxfId="1" type="headerRow"/>
      <tableStyleElement dxfId="2" type="firstRowStripe"/>
      <tableStyleElement dxfId="3"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9:B35" displayName="Table_1" name="Table_1" id="1">
  <tableColumns count="2">
    <tableColumn name="Exemplo ilustrativo de linha da Triagem" id="1"/>
    <tableColumn name="Valores fictícios, só para mostrar o formato. O ID e os textos reais vêm da base." id="2"/>
  </tableColumns>
  <tableStyleInfo name="Instruções-style" showColumnStripes="0" showFirstColumn="1" showLastColumn="1" showRowStripes="1"/>
</table>
</file>

<file path=xl/tables/table2.xml><?xml version="1.0" encoding="utf-8"?>
<table xmlns="http://schemas.openxmlformats.org/spreadsheetml/2006/main" ref="A37:B62" displayName="Table_2" name="Table_2" id="2">
  <tableColumns count="2">
    <tableColumn name="Exemplo ilustrativo de linha do Catálogo" id="1"/>
    <tableColumn name="Valores fictícios, só para mostrar o formato." id="2"/>
  </tableColumns>
  <tableStyleInfo name="Instruçõe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29"/>
    <col customWidth="1" min="2" max="2" width="112.14"/>
    <col customWidth="1" min="3" max="22" width="8.71"/>
  </cols>
  <sheetData>
    <row r="1" ht="17.25" customHeight="1">
      <c r="A1" s="8" t="s">
        <v>44</v>
      </c>
      <c r="C1" s="10"/>
      <c r="D1" s="10"/>
      <c r="E1" s="10"/>
      <c r="F1" s="10"/>
      <c r="G1" s="10"/>
      <c r="H1" s="10"/>
      <c r="I1" s="10"/>
      <c r="J1" s="10"/>
      <c r="K1" s="10"/>
      <c r="L1" s="10"/>
      <c r="M1" s="10"/>
      <c r="N1" s="10"/>
      <c r="O1" s="10"/>
      <c r="P1" s="10"/>
      <c r="Q1" s="10"/>
      <c r="R1" s="10"/>
      <c r="S1" s="10"/>
      <c r="T1" s="10"/>
      <c r="U1" s="10"/>
      <c r="V1" s="10"/>
      <c r="W1" s="10"/>
      <c r="X1" s="10"/>
      <c r="Y1" s="10"/>
      <c r="Z1" s="10"/>
    </row>
    <row r="2" ht="15.0" customHeight="1">
      <c r="A2" s="10"/>
      <c r="B2" s="10"/>
      <c r="C2" s="10"/>
      <c r="D2" s="10"/>
      <c r="E2" s="10"/>
      <c r="F2" s="10"/>
      <c r="G2" s="10"/>
      <c r="H2" s="10"/>
      <c r="I2" s="10"/>
      <c r="J2" s="10"/>
      <c r="K2" s="10"/>
      <c r="L2" s="10"/>
      <c r="M2" s="10"/>
      <c r="N2" s="10"/>
      <c r="O2" s="10"/>
      <c r="P2" s="10"/>
      <c r="Q2" s="10"/>
      <c r="R2" s="10"/>
      <c r="S2" s="10"/>
      <c r="T2" s="10"/>
      <c r="U2" s="10"/>
      <c r="V2" s="10"/>
      <c r="W2" s="10"/>
      <c r="X2" s="10"/>
      <c r="Y2" s="10"/>
      <c r="Z2" s="10"/>
    </row>
    <row r="3" ht="45.75" customHeight="1">
      <c r="A3" s="13" t="s">
        <v>62</v>
      </c>
      <c r="B3" s="11" t="s">
        <v>72</v>
      </c>
      <c r="C3" s="10"/>
      <c r="D3" s="10"/>
      <c r="E3" s="10"/>
      <c r="F3" s="10"/>
      <c r="G3" s="10"/>
      <c r="H3" s="10"/>
      <c r="I3" s="10"/>
      <c r="J3" s="10"/>
      <c r="K3" s="10"/>
      <c r="L3" s="10"/>
      <c r="M3" s="10"/>
      <c r="N3" s="10"/>
      <c r="O3" s="10"/>
      <c r="P3" s="10"/>
      <c r="Q3" s="10"/>
      <c r="R3" s="10"/>
      <c r="S3" s="10"/>
      <c r="T3" s="10"/>
      <c r="U3" s="10"/>
      <c r="V3" s="10"/>
      <c r="W3" s="10"/>
      <c r="X3" s="10"/>
      <c r="Y3" s="10"/>
      <c r="Z3" s="10"/>
    </row>
    <row r="4" ht="60.0" customHeight="1">
      <c r="A4" s="13" t="s">
        <v>78</v>
      </c>
      <c r="B4" s="17" t="s">
        <v>110</v>
      </c>
      <c r="C4" s="10"/>
      <c r="D4" s="10"/>
      <c r="E4" s="10"/>
      <c r="F4" s="10"/>
      <c r="G4" s="10"/>
      <c r="H4" s="10"/>
      <c r="I4" s="10"/>
      <c r="J4" s="10"/>
      <c r="K4" s="10"/>
      <c r="L4" s="10"/>
      <c r="M4" s="10"/>
      <c r="N4" s="10"/>
      <c r="O4" s="10"/>
      <c r="P4" s="10"/>
      <c r="Q4" s="10"/>
      <c r="R4" s="10"/>
      <c r="S4" s="10"/>
      <c r="T4" s="10"/>
      <c r="U4" s="10"/>
      <c r="V4" s="10"/>
      <c r="W4" s="10"/>
      <c r="X4" s="10"/>
      <c r="Y4" s="10"/>
      <c r="Z4" s="10"/>
    </row>
    <row r="5" ht="45.75" customHeight="1">
      <c r="A5" s="13" t="s">
        <v>122</v>
      </c>
      <c r="B5" s="11" t="s">
        <v>134</v>
      </c>
      <c r="C5" s="10"/>
      <c r="D5" s="10"/>
      <c r="E5" s="10"/>
      <c r="F5" s="10"/>
      <c r="G5" s="10"/>
      <c r="H5" s="10"/>
      <c r="I5" s="10"/>
      <c r="J5" s="10"/>
      <c r="K5" s="10"/>
      <c r="L5" s="10"/>
      <c r="M5" s="10"/>
      <c r="N5" s="10"/>
      <c r="O5" s="10"/>
      <c r="P5" s="10"/>
      <c r="Q5" s="10"/>
      <c r="R5" s="10"/>
      <c r="S5" s="10"/>
      <c r="T5" s="10"/>
      <c r="U5" s="10"/>
      <c r="V5" s="10"/>
      <c r="W5" s="10"/>
      <c r="X5" s="10"/>
      <c r="Y5" s="10"/>
      <c r="Z5" s="10"/>
    </row>
    <row r="6" ht="45.75" customHeight="1">
      <c r="A6" s="13" t="s">
        <v>144</v>
      </c>
      <c r="B6" s="7" t="s">
        <v>145</v>
      </c>
      <c r="C6" s="10"/>
      <c r="D6" s="10"/>
      <c r="E6" s="10"/>
      <c r="F6" s="10"/>
      <c r="G6" s="10"/>
      <c r="H6" s="10"/>
      <c r="I6" s="10"/>
      <c r="J6" s="10"/>
      <c r="K6" s="10"/>
      <c r="L6" s="10"/>
      <c r="M6" s="10"/>
      <c r="N6" s="10"/>
      <c r="O6" s="10"/>
      <c r="P6" s="10"/>
      <c r="Q6" s="10"/>
      <c r="R6" s="10"/>
      <c r="S6" s="10"/>
      <c r="T6" s="10"/>
      <c r="U6" s="10"/>
      <c r="V6" s="10"/>
      <c r="W6" s="10"/>
      <c r="X6" s="10"/>
      <c r="Y6" s="10"/>
      <c r="Z6" s="10"/>
    </row>
    <row r="7" ht="45.75" customHeight="1">
      <c r="A7" s="13" t="s">
        <v>151</v>
      </c>
      <c r="B7" s="7" t="s">
        <v>153</v>
      </c>
      <c r="C7" s="10"/>
      <c r="D7" s="10"/>
      <c r="E7" s="10"/>
      <c r="F7" s="10"/>
      <c r="G7" s="10"/>
      <c r="H7" s="10"/>
      <c r="I7" s="10"/>
      <c r="J7" s="10"/>
      <c r="K7" s="10"/>
      <c r="L7" s="10"/>
      <c r="M7" s="10"/>
      <c r="N7" s="10"/>
      <c r="O7" s="10"/>
      <c r="P7" s="10"/>
      <c r="Q7" s="10"/>
      <c r="R7" s="10"/>
      <c r="S7" s="10"/>
      <c r="T7" s="10"/>
      <c r="U7" s="10"/>
      <c r="V7" s="10"/>
      <c r="W7" s="10"/>
      <c r="X7" s="10"/>
      <c r="Y7" s="10"/>
      <c r="Z7" s="10"/>
    </row>
    <row r="8" ht="45.75" customHeight="1">
      <c r="A8" s="13" t="s">
        <v>161</v>
      </c>
      <c r="B8" s="7" t="s">
        <v>162</v>
      </c>
      <c r="C8" s="10"/>
      <c r="D8" s="10"/>
      <c r="E8" s="10"/>
      <c r="F8" s="10"/>
      <c r="G8" s="10"/>
      <c r="H8" s="10"/>
      <c r="I8" s="10"/>
      <c r="J8" s="10"/>
      <c r="K8" s="10"/>
      <c r="L8" s="10"/>
      <c r="M8" s="10"/>
      <c r="N8" s="10"/>
      <c r="O8" s="10"/>
      <c r="P8" s="10"/>
      <c r="Q8" s="10"/>
      <c r="R8" s="10"/>
      <c r="S8" s="10"/>
      <c r="T8" s="10"/>
      <c r="U8" s="10"/>
      <c r="V8" s="10"/>
      <c r="W8" s="10"/>
      <c r="X8" s="10"/>
      <c r="Y8" s="10"/>
      <c r="Z8" s="10"/>
    </row>
    <row r="9" ht="45.75" customHeight="1">
      <c r="A9" s="13" t="s">
        <v>171</v>
      </c>
      <c r="B9" s="7" t="s">
        <v>174</v>
      </c>
      <c r="C9" s="10"/>
      <c r="D9" s="10"/>
      <c r="E9" s="10"/>
      <c r="F9" s="10"/>
      <c r="G9" s="10"/>
      <c r="H9" s="10"/>
      <c r="I9" s="10"/>
      <c r="J9" s="10"/>
      <c r="K9" s="10"/>
      <c r="L9" s="10"/>
      <c r="M9" s="10"/>
      <c r="N9" s="10"/>
      <c r="O9" s="10"/>
      <c r="P9" s="10"/>
      <c r="Q9" s="10"/>
      <c r="R9" s="10"/>
      <c r="S9" s="10"/>
      <c r="T9" s="10"/>
      <c r="U9" s="10"/>
      <c r="V9" s="10"/>
      <c r="W9" s="10"/>
      <c r="X9" s="10"/>
      <c r="Y9" s="10"/>
      <c r="Z9" s="10"/>
    </row>
    <row r="10" ht="45.75" customHeight="1">
      <c r="A10" s="13" t="s">
        <v>177</v>
      </c>
      <c r="B10" s="11" t="s">
        <v>193</v>
      </c>
      <c r="C10" s="10"/>
      <c r="D10" s="10"/>
      <c r="E10" s="10"/>
      <c r="F10" s="10"/>
      <c r="G10" s="10"/>
      <c r="H10" s="10"/>
      <c r="I10" s="10"/>
      <c r="J10" s="10"/>
      <c r="K10" s="10"/>
      <c r="L10" s="10"/>
      <c r="M10" s="10"/>
      <c r="N10" s="10"/>
      <c r="O10" s="10"/>
      <c r="P10" s="10"/>
      <c r="Q10" s="10"/>
      <c r="R10" s="10"/>
      <c r="S10" s="10"/>
      <c r="T10" s="10"/>
      <c r="U10" s="10"/>
      <c r="V10" s="10"/>
      <c r="W10" s="10"/>
      <c r="X10" s="10"/>
      <c r="Y10" s="10"/>
      <c r="Z10" s="10"/>
    </row>
    <row r="11" ht="45.75" customHeight="1">
      <c r="A11" s="13" t="s">
        <v>198</v>
      </c>
      <c r="B11" s="7" t="s">
        <v>199</v>
      </c>
      <c r="C11" s="10"/>
      <c r="D11" s="10"/>
      <c r="E11" s="10"/>
      <c r="F11" s="10"/>
      <c r="G11" s="10"/>
      <c r="H11" s="10"/>
      <c r="I11" s="10"/>
      <c r="J11" s="10"/>
      <c r="K11" s="10"/>
      <c r="L11" s="10"/>
      <c r="M11" s="10"/>
      <c r="N11" s="10"/>
      <c r="O11" s="10"/>
      <c r="P11" s="10"/>
      <c r="Q11" s="10"/>
      <c r="R11" s="10"/>
      <c r="S11" s="10"/>
      <c r="T11" s="10"/>
      <c r="U11" s="10"/>
      <c r="V11" s="10"/>
      <c r="W11" s="10"/>
      <c r="X11" s="10"/>
      <c r="Y11" s="10"/>
      <c r="Z11" s="10"/>
    </row>
    <row r="12" ht="45.75" customHeight="1">
      <c r="A12" s="13" t="s">
        <v>204</v>
      </c>
      <c r="B12" s="11" t="s">
        <v>211</v>
      </c>
      <c r="C12" s="10"/>
      <c r="D12" s="10"/>
      <c r="E12" s="10"/>
      <c r="F12" s="10"/>
      <c r="G12" s="10"/>
      <c r="H12" s="10"/>
      <c r="I12" s="10"/>
      <c r="J12" s="10"/>
      <c r="K12" s="10"/>
      <c r="L12" s="10"/>
      <c r="M12" s="10"/>
      <c r="N12" s="10"/>
      <c r="O12" s="10"/>
      <c r="P12" s="10"/>
      <c r="Q12" s="10"/>
      <c r="R12" s="10"/>
      <c r="S12" s="10"/>
      <c r="T12" s="10"/>
      <c r="U12" s="10"/>
      <c r="V12" s="10"/>
      <c r="W12" s="10"/>
      <c r="X12" s="10"/>
      <c r="Y12" s="10"/>
      <c r="Z12" s="10"/>
    </row>
    <row r="13" ht="165.75" customHeight="1">
      <c r="A13" s="18" t="s">
        <v>39</v>
      </c>
      <c r="B13" s="11" t="s">
        <v>237</v>
      </c>
      <c r="C13" s="10"/>
      <c r="D13" s="10"/>
      <c r="E13" s="10"/>
      <c r="F13" s="10"/>
      <c r="G13" s="10"/>
      <c r="H13" s="10"/>
      <c r="I13" s="10"/>
      <c r="J13" s="10"/>
      <c r="K13" s="10"/>
      <c r="L13" s="10"/>
      <c r="M13" s="10"/>
      <c r="N13" s="10"/>
      <c r="O13" s="10"/>
      <c r="P13" s="10"/>
      <c r="Q13" s="10"/>
      <c r="R13" s="10"/>
      <c r="S13" s="10"/>
      <c r="T13" s="10"/>
      <c r="U13" s="10"/>
      <c r="V13" s="10"/>
      <c r="W13" s="10"/>
      <c r="X13" s="10"/>
      <c r="Y13" s="10"/>
      <c r="Z13" s="10"/>
    </row>
    <row r="14" ht="45.75" customHeight="1">
      <c r="A14" s="13" t="s">
        <v>242</v>
      </c>
      <c r="B14" s="11" t="s">
        <v>247</v>
      </c>
      <c r="C14" s="10"/>
      <c r="D14" s="10"/>
      <c r="E14" s="10"/>
      <c r="F14" s="10"/>
      <c r="G14" s="10"/>
      <c r="H14" s="10"/>
      <c r="I14" s="10"/>
      <c r="J14" s="10"/>
      <c r="K14" s="10"/>
      <c r="L14" s="10"/>
      <c r="M14" s="10"/>
      <c r="N14" s="10"/>
      <c r="O14" s="10"/>
      <c r="P14" s="10"/>
      <c r="Q14" s="10"/>
      <c r="R14" s="10"/>
      <c r="S14" s="10"/>
      <c r="T14" s="10"/>
      <c r="U14" s="10"/>
      <c r="V14" s="10"/>
      <c r="W14" s="10"/>
      <c r="X14" s="10"/>
      <c r="Y14" s="10"/>
      <c r="Z14" s="10"/>
    </row>
    <row r="15" ht="75.0" customHeight="1">
      <c r="A15" s="13" t="s">
        <v>249</v>
      </c>
      <c r="B15" s="11" t="s">
        <v>256</v>
      </c>
      <c r="C15" s="10"/>
      <c r="D15" s="10"/>
      <c r="E15" s="10"/>
      <c r="F15" s="10"/>
      <c r="G15" s="10"/>
      <c r="H15" s="10"/>
      <c r="I15" s="10"/>
      <c r="J15" s="10"/>
      <c r="K15" s="10"/>
      <c r="L15" s="10"/>
      <c r="M15" s="10"/>
      <c r="N15" s="10"/>
      <c r="O15" s="10"/>
      <c r="P15" s="10"/>
      <c r="Q15" s="10"/>
      <c r="R15" s="10"/>
      <c r="S15" s="10"/>
      <c r="T15" s="10"/>
      <c r="U15" s="10"/>
      <c r="V15" s="10"/>
      <c r="W15" s="10"/>
      <c r="X15" s="10"/>
      <c r="Y15" s="10"/>
      <c r="Z15" s="10"/>
    </row>
    <row r="16" ht="45.75" customHeight="1">
      <c r="A16" s="13" t="s">
        <v>262</v>
      </c>
      <c r="B16" s="11" t="s">
        <v>266</v>
      </c>
      <c r="C16" s="10"/>
      <c r="D16" s="10"/>
      <c r="E16" s="10"/>
      <c r="F16" s="10"/>
      <c r="G16" s="10"/>
      <c r="H16" s="10"/>
      <c r="I16" s="10"/>
      <c r="J16" s="10"/>
      <c r="K16" s="10"/>
      <c r="L16" s="10"/>
      <c r="M16" s="10"/>
      <c r="N16" s="10"/>
      <c r="O16" s="10"/>
      <c r="P16" s="10"/>
      <c r="Q16" s="10"/>
      <c r="R16" s="10"/>
      <c r="S16" s="10"/>
      <c r="T16" s="10"/>
      <c r="U16" s="10"/>
      <c r="V16" s="10"/>
      <c r="W16" s="10"/>
      <c r="X16" s="10"/>
      <c r="Y16" s="10"/>
      <c r="Z16" s="10"/>
    </row>
    <row r="17" ht="30.0" customHeight="1">
      <c r="A17" s="13" t="s">
        <v>271</v>
      </c>
      <c r="B17" s="7" t="s">
        <v>273</v>
      </c>
      <c r="C17" s="10"/>
      <c r="D17" s="10"/>
      <c r="E17" s="10"/>
      <c r="F17" s="10"/>
      <c r="G17" s="10"/>
      <c r="H17" s="10"/>
      <c r="I17" s="10"/>
      <c r="J17" s="10"/>
      <c r="K17" s="10"/>
      <c r="L17" s="10"/>
      <c r="M17" s="10"/>
      <c r="N17" s="10"/>
      <c r="O17" s="10"/>
      <c r="P17" s="10"/>
      <c r="Q17" s="10"/>
      <c r="R17" s="10"/>
      <c r="S17" s="10"/>
      <c r="T17" s="10"/>
      <c r="U17" s="10"/>
      <c r="V17" s="10"/>
      <c r="W17" s="10"/>
      <c r="X17" s="10"/>
      <c r="Y17" s="10"/>
      <c r="Z17" s="10"/>
    </row>
    <row r="18" ht="15.0" customHeight="1">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ht="15.0" customHeight="1">
      <c r="A19" s="20" t="s">
        <v>281</v>
      </c>
      <c r="B19" s="21" t="s">
        <v>285</v>
      </c>
      <c r="C19" s="10"/>
      <c r="D19" s="10"/>
      <c r="E19" s="10"/>
      <c r="F19" s="10"/>
      <c r="G19" s="10"/>
      <c r="H19" s="10"/>
      <c r="I19" s="10"/>
      <c r="J19" s="10"/>
      <c r="K19" s="10"/>
      <c r="L19" s="10"/>
      <c r="M19" s="10"/>
      <c r="N19" s="10"/>
      <c r="O19" s="10"/>
      <c r="P19" s="10"/>
      <c r="Q19" s="10"/>
      <c r="R19" s="10"/>
      <c r="S19" s="10"/>
      <c r="T19" s="10"/>
      <c r="U19" s="10"/>
      <c r="V19" s="10"/>
      <c r="W19" s="10"/>
      <c r="X19" s="10"/>
      <c r="Y19" s="10"/>
      <c r="Z19" s="10"/>
    </row>
    <row r="20" ht="15.0" customHeight="1">
      <c r="A20" s="22" t="s">
        <v>0</v>
      </c>
      <c r="B20" s="22" t="s">
        <v>290</v>
      </c>
      <c r="C20" s="10"/>
      <c r="D20" s="10"/>
      <c r="E20" s="10"/>
      <c r="F20" s="10"/>
      <c r="G20" s="10"/>
      <c r="H20" s="10"/>
      <c r="I20" s="10"/>
      <c r="J20" s="10"/>
      <c r="K20" s="10"/>
      <c r="L20" s="10"/>
      <c r="M20" s="10"/>
      <c r="N20" s="10"/>
      <c r="O20" s="10"/>
      <c r="P20" s="10"/>
      <c r="Q20" s="10"/>
      <c r="R20" s="10"/>
      <c r="S20" s="10"/>
      <c r="T20" s="10"/>
      <c r="U20" s="10"/>
      <c r="V20" s="10"/>
      <c r="W20" s="10"/>
      <c r="X20" s="10"/>
      <c r="Y20" s="10"/>
      <c r="Z20" s="10"/>
    </row>
    <row r="21" ht="15.0" customHeight="1">
      <c r="A21" s="22" t="s">
        <v>2</v>
      </c>
      <c r="B21" s="22" t="s">
        <v>294</v>
      </c>
      <c r="C21" s="10"/>
      <c r="D21" s="10"/>
      <c r="E21" s="10"/>
      <c r="F21" s="10"/>
      <c r="G21" s="10"/>
      <c r="H21" s="10"/>
      <c r="I21" s="10"/>
      <c r="J21" s="10"/>
      <c r="K21" s="10"/>
      <c r="L21" s="10"/>
      <c r="M21" s="10"/>
      <c r="N21" s="10"/>
      <c r="O21" s="10"/>
      <c r="P21" s="10"/>
      <c r="Q21" s="10"/>
      <c r="R21" s="10"/>
      <c r="S21" s="10"/>
      <c r="T21" s="10"/>
      <c r="U21" s="10"/>
      <c r="V21" s="10"/>
      <c r="W21" s="10"/>
      <c r="X21" s="10"/>
      <c r="Y21" s="10"/>
      <c r="Z21" s="10"/>
    </row>
    <row r="22" ht="15.0" customHeight="1">
      <c r="A22" s="22" t="s">
        <v>3</v>
      </c>
      <c r="B22" s="22" t="s">
        <v>299</v>
      </c>
      <c r="C22" s="10"/>
      <c r="D22" s="10"/>
      <c r="E22" s="10"/>
      <c r="F22" s="10"/>
      <c r="G22" s="10"/>
      <c r="H22" s="10"/>
      <c r="I22" s="10"/>
      <c r="J22" s="10"/>
      <c r="K22" s="10"/>
      <c r="L22" s="10"/>
      <c r="M22" s="10"/>
      <c r="N22" s="10"/>
      <c r="O22" s="10"/>
      <c r="P22" s="10"/>
      <c r="Q22" s="10"/>
      <c r="R22" s="10"/>
      <c r="S22" s="10"/>
      <c r="T22" s="10"/>
      <c r="U22" s="10"/>
      <c r="V22" s="10"/>
      <c r="W22" s="10"/>
      <c r="X22" s="10"/>
      <c r="Y22" s="10"/>
      <c r="Z22" s="10"/>
    </row>
    <row r="23" ht="15.0" customHeight="1">
      <c r="A23" s="22" t="s">
        <v>4</v>
      </c>
      <c r="B23" s="22" t="s">
        <v>46</v>
      </c>
      <c r="C23" s="10"/>
      <c r="D23" s="10"/>
      <c r="E23" s="10"/>
      <c r="F23" s="10"/>
      <c r="G23" s="10"/>
      <c r="H23" s="10"/>
      <c r="I23" s="10"/>
      <c r="J23" s="10"/>
      <c r="K23" s="10"/>
      <c r="L23" s="10"/>
      <c r="M23" s="10"/>
      <c r="N23" s="10"/>
      <c r="O23" s="10"/>
      <c r="P23" s="10"/>
      <c r="Q23" s="10"/>
      <c r="R23" s="10"/>
      <c r="S23" s="10"/>
      <c r="T23" s="10"/>
      <c r="U23" s="10"/>
      <c r="V23" s="10"/>
      <c r="W23" s="10"/>
      <c r="X23" s="10"/>
      <c r="Y23" s="10"/>
      <c r="Z23" s="10"/>
    </row>
    <row r="24" ht="15.0" customHeight="1">
      <c r="A24" s="22" t="s">
        <v>5</v>
      </c>
      <c r="B24" s="22" t="s">
        <v>267</v>
      </c>
      <c r="C24" s="10"/>
      <c r="D24" s="10"/>
      <c r="E24" s="10"/>
      <c r="F24" s="10"/>
      <c r="G24" s="10"/>
      <c r="H24" s="10"/>
      <c r="I24" s="10"/>
      <c r="J24" s="10"/>
      <c r="K24" s="10"/>
      <c r="L24" s="10"/>
      <c r="M24" s="10"/>
      <c r="N24" s="10"/>
      <c r="O24" s="10"/>
      <c r="P24" s="10"/>
      <c r="Q24" s="10"/>
      <c r="R24" s="10"/>
      <c r="S24" s="10"/>
      <c r="T24" s="10"/>
      <c r="U24" s="10"/>
      <c r="V24" s="10"/>
      <c r="W24" s="10"/>
      <c r="X24" s="10"/>
      <c r="Y24" s="10"/>
      <c r="Z24" s="10"/>
    </row>
    <row r="25" ht="15.0" customHeight="1">
      <c r="A25" s="22" t="s">
        <v>320</v>
      </c>
      <c r="B25" s="22" t="s">
        <v>71</v>
      </c>
      <c r="C25" s="10"/>
      <c r="D25" s="10"/>
      <c r="E25" s="10"/>
      <c r="F25" s="10"/>
      <c r="G25" s="10"/>
      <c r="H25" s="10"/>
      <c r="I25" s="10"/>
      <c r="J25" s="10"/>
      <c r="K25" s="10"/>
      <c r="L25" s="10"/>
      <c r="M25" s="10"/>
      <c r="N25" s="10"/>
      <c r="O25" s="10"/>
      <c r="P25" s="10"/>
      <c r="Q25" s="10"/>
      <c r="R25" s="10"/>
      <c r="S25" s="10"/>
      <c r="T25" s="10"/>
      <c r="U25" s="10"/>
      <c r="V25" s="10"/>
      <c r="W25" s="10"/>
      <c r="X25" s="10"/>
      <c r="Y25" s="10"/>
      <c r="Z25" s="10"/>
    </row>
    <row r="26" ht="15.0" customHeight="1">
      <c r="A26" s="22" t="s">
        <v>8</v>
      </c>
      <c r="B26" s="22" t="s">
        <v>55</v>
      </c>
      <c r="C26" s="10"/>
      <c r="D26" s="10"/>
      <c r="E26" s="10"/>
      <c r="F26" s="10"/>
      <c r="G26" s="10"/>
      <c r="H26" s="10"/>
      <c r="I26" s="10"/>
      <c r="J26" s="10"/>
      <c r="K26" s="10"/>
      <c r="L26" s="10"/>
      <c r="M26" s="10"/>
      <c r="N26" s="10"/>
      <c r="O26" s="10"/>
      <c r="P26" s="10"/>
      <c r="Q26" s="10"/>
      <c r="R26" s="10"/>
      <c r="S26" s="10"/>
      <c r="T26" s="10"/>
      <c r="U26" s="10"/>
      <c r="V26" s="10"/>
      <c r="W26" s="10"/>
      <c r="X26" s="10"/>
      <c r="Y26" s="10"/>
      <c r="Z26" s="10"/>
    </row>
    <row r="27" ht="15.0" customHeight="1">
      <c r="A27" s="22" t="s">
        <v>10</v>
      </c>
      <c r="B27" s="22" t="s">
        <v>55</v>
      </c>
      <c r="C27" s="10"/>
      <c r="D27" s="10"/>
      <c r="E27" s="10"/>
      <c r="F27" s="10"/>
      <c r="G27" s="10"/>
      <c r="H27" s="10"/>
      <c r="I27" s="10"/>
      <c r="J27" s="10"/>
      <c r="K27" s="10"/>
      <c r="L27" s="10"/>
      <c r="M27" s="10"/>
      <c r="N27" s="10"/>
      <c r="O27" s="10"/>
      <c r="P27" s="10"/>
      <c r="Q27" s="10"/>
      <c r="R27" s="10"/>
      <c r="S27" s="10"/>
      <c r="T27" s="10"/>
      <c r="U27" s="10"/>
      <c r="V27" s="10"/>
      <c r="W27" s="10"/>
      <c r="X27" s="10"/>
      <c r="Y27" s="10"/>
      <c r="Z27" s="10"/>
    </row>
    <row r="28" ht="15.0" customHeight="1">
      <c r="A28" s="22" t="s">
        <v>11</v>
      </c>
      <c r="B28" s="22" t="s">
        <v>55</v>
      </c>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5.0" customHeight="1">
      <c r="A29" s="22" t="s">
        <v>12</v>
      </c>
      <c r="B29" s="22" t="s">
        <v>55</v>
      </c>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5.0" customHeight="1">
      <c r="A30" s="22" t="s">
        <v>13</v>
      </c>
      <c r="B30" s="22"/>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5.0" customHeight="1">
      <c r="A31" s="22" t="s">
        <v>15</v>
      </c>
      <c r="B31" s="22" t="s">
        <v>343</v>
      </c>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5.0" customHeight="1">
      <c r="A32" s="22" t="s">
        <v>16</v>
      </c>
      <c r="B32" s="22" t="s">
        <v>87</v>
      </c>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5.0" customHeight="1">
      <c r="A33" s="22" t="s">
        <v>18</v>
      </c>
      <c r="B33" s="22"/>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5.0" customHeight="1">
      <c r="A34" s="22" t="s">
        <v>20</v>
      </c>
      <c r="B34" s="22" t="s">
        <v>57</v>
      </c>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5.0" customHeight="1">
      <c r="A35" s="22" t="s">
        <v>21</v>
      </c>
      <c r="B35" s="22" t="s">
        <v>357</v>
      </c>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5.0"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5.0" customHeight="1">
      <c r="A37" s="20" t="s">
        <v>362</v>
      </c>
      <c r="B37" s="21" t="s">
        <v>366</v>
      </c>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5.0" customHeight="1">
      <c r="A38" s="22" t="s">
        <v>1</v>
      </c>
      <c r="B38" s="22" t="s">
        <v>83</v>
      </c>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5.0" customHeight="1">
      <c r="A39" s="22" t="s">
        <v>6</v>
      </c>
      <c r="B39" s="22" t="s">
        <v>71</v>
      </c>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5.0" customHeight="1">
      <c r="A40" s="22" t="s">
        <v>0</v>
      </c>
      <c r="B40" s="22" t="s">
        <v>290</v>
      </c>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5.0" customHeight="1">
      <c r="A41" s="22" t="s">
        <v>2</v>
      </c>
      <c r="B41" s="22" t="s">
        <v>294</v>
      </c>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5.0" customHeight="1">
      <c r="A42" s="22" t="s">
        <v>9</v>
      </c>
      <c r="B42" s="22" t="s">
        <v>381</v>
      </c>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5.0" customHeight="1">
      <c r="A43" s="22" t="s">
        <v>4</v>
      </c>
      <c r="B43" s="22" t="s">
        <v>46</v>
      </c>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5.0" customHeight="1">
      <c r="A44" s="22" t="s">
        <v>5</v>
      </c>
      <c r="B44" s="22" t="s">
        <v>267</v>
      </c>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5.0" customHeight="1">
      <c r="A45" s="22" t="s">
        <v>14</v>
      </c>
      <c r="B45" s="22" t="s">
        <v>392</v>
      </c>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5.0" customHeight="1">
      <c r="A46" s="22" t="s">
        <v>17</v>
      </c>
      <c r="B46" s="22" t="s">
        <v>393</v>
      </c>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5.0" customHeight="1">
      <c r="A47" s="22" t="s">
        <v>19</v>
      </c>
      <c r="B47" s="22" t="s">
        <v>71</v>
      </c>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5.0" customHeight="1">
      <c r="A48" s="22" t="s">
        <v>22</v>
      </c>
      <c r="B48" s="22" t="s">
        <v>393</v>
      </c>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5.0" customHeight="1">
      <c r="A49" s="22" t="s">
        <v>24</v>
      </c>
      <c r="B49" s="22" t="s">
        <v>109</v>
      </c>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5.0" customHeight="1">
      <c r="A50" s="22" t="s">
        <v>25</v>
      </c>
      <c r="B50" s="22" t="s">
        <v>343</v>
      </c>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5.0" customHeight="1">
      <c r="A51" s="22" t="s">
        <v>28</v>
      </c>
      <c r="B51" s="22" t="s">
        <v>393</v>
      </c>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5.0" customHeight="1">
      <c r="A52" s="22" t="s">
        <v>31</v>
      </c>
      <c r="B52" s="22" t="s">
        <v>405</v>
      </c>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5.0" customHeight="1">
      <c r="A53" s="22" t="s">
        <v>34</v>
      </c>
      <c r="B53" s="22" t="s">
        <v>409</v>
      </c>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5.0" customHeight="1">
      <c r="A54" s="22" t="s">
        <v>35</v>
      </c>
      <c r="B54" s="22" t="s">
        <v>105</v>
      </c>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5.0" customHeight="1">
      <c r="A55" s="22" t="s">
        <v>36</v>
      </c>
      <c r="B55" s="22" t="s">
        <v>106</v>
      </c>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5.0" customHeight="1">
      <c r="A56" s="22" t="s">
        <v>37</v>
      </c>
      <c r="B56" s="22" t="s">
        <v>126</v>
      </c>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5.0" customHeight="1">
      <c r="A57" s="22" t="s">
        <v>38</v>
      </c>
      <c r="B57" s="22" t="s">
        <v>420</v>
      </c>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5.0" customHeight="1">
      <c r="A58" s="22" t="s">
        <v>39</v>
      </c>
      <c r="B58" s="22" t="s">
        <v>424</v>
      </c>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5.0" customHeight="1">
      <c r="A59" s="22" t="s">
        <v>42</v>
      </c>
      <c r="B59" s="22" t="s">
        <v>129</v>
      </c>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5.0" customHeight="1">
      <c r="A60" s="22" t="s">
        <v>21</v>
      </c>
      <c r="B60" s="22"/>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5.0" customHeight="1">
      <c r="A61" s="22" t="s">
        <v>49</v>
      </c>
      <c r="B61" s="22" t="s">
        <v>431</v>
      </c>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5.0" customHeight="1">
      <c r="A62" s="22" t="s">
        <v>51</v>
      </c>
      <c r="B62" s="22" t="s">
        <v>432</v>
      </c>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5.7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sheetData>
  <mergeCells count="1">
    <mergeCell ref="A1:B1"/>
  </mergeCells>
  <printOptions/>
  <pageMargins bottom="1.0" footer="0.0" header="0.0" left="0.75" right="0.75" top="1.0"/>
  <pageSetup paperSize="9" orientation="portrait"/>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1.57"/>
    <col customWidth="1" min="2" max="2" width="34.0"/>
    <col customWidth="1" min="3" max="3" width="50.0"/>
    <col customWidth="1" min="4" max="4" width="34.0"/>
    <col customWidth="1" min="5" max="5" width="30.0"/>
    <col customWidth="1" min="6" max="6" width="22.0"/>
    <col customWidth="1" min="7" max="7" width="9.0"/>
    <col customWidth="1" min="8" max="8" width="12.86"/>
    <col customWidth="1" min="9" max="9" width="13.71"/>
    <col customWidth="1" min="10" max="10" width="15.29"/>
    <col customWidth="1" min="11" max="11" width="15.43"/>
    <col customWidth="1" min="12" max="12" width="12.0"/>
    <col customWidth="1" min="13" max="13" width="11.86"/>
    <col customWidth="1" min="14" max="14" width="22.0"/>
    <col customWidth="1" min="15" max="15" width="15.0"/>
    <col customWidth="1" min="16" max="16" width="36.0"/>
    <col customWidth="1" min="17" max="17" width="10.0"/>
    <col customWidth="1" min="18" max="18" width="13.0"/>
    <col customWidth="1" min="19" max="19" width="13.29"/>
    <col customWidth="1" min="20" max="20" width="15.0"/>
    <col customWidth="1" min="21" max="21" width="11.14"/>
    <col customWidth="1" min="22" max="22" width="64.29"/>
    <col customWidth="1" min="23" max="23" width="52.0"/>
    <col customWidth="1" min="24" max="26" width="8.71"/>
  </cols>
  <sheetData>
    <row r="1" ht="48.0" customHeight="1">
      <c r="A1" s="1" t="s">
        <v>0</v>
      </c>
      <c r="B1" s="1" t="s">
        <v>2</v>
      </c>
      <c r="C1" s="1" t="s">
        <v>3</v>
      </c>
      <c r="D1" s="1" t="s">
        <v>4</v>
      </c>
      <c r="E1" s="1" t="s">
        <v>5</v>
      </c>
      <c r="F1" s="2" t="s">
        <v>6</v>
      </c>
      <c r="G1" s="1" t="s">
        <v>8</v>
      </c>
      <c r="H1" s="1" t="s">
        <v>10</v>
      </c>
      <c r="I1" s="1" t="s">
        <v>11</v>
      </c>
      <c r="J1" s="1" t="s">
        <v>12</v>
      </c>
      <c r="K1" s="1" t="s">
        <v>13</v>
      </c>
      <c r="L1" s="1" t="s">
        <v>15</v>
      </c>
      <c r="M1" s="1" t="s">
        <v>16</v>
      </c>
      <c r="N1" s="1" t="s">
        <v>18</v>
      </c>
      <c r="O1" s="1" t="s">
        <v>20</v>
      </c>
      <c r="P1" s="1" t="s">
        <v>21</v>
      </c>
      <c r="Q1" s="5" t="s">
        <v>23</v>
      </c>
      <c r="R1" s="5" t="s">
        <v>26</v>
      </c>
      <c r="S1" s="5" t="s">
        <v>27</v>
      </c>
      <c r="T1" s="5" t="s">
        <v>29</v>
      </c>
      <c r="U1" s="5" t="s">
        <v>30</v>
      </c>
      <c r="V1" s="5" t="s">
        <v>32</v>
      </c>
      <c r="W1" s="5" t="s">
        <v>33</v>
      </c>
      <c r="X1" s="6"/>
      <c r="Y1" s="6"/>
      <c r="Z1" s="6"/>
    </row>
    <row r="2" ht="15.0" customHeight="1">
      <c r="A2" s="7" t="s">
        <v>40</v>
      </c>
      <c r="B2" s="7" t="s">
        <v>41</v>
      </c>
      <c r="C2" s="7" t="s">
        <v>43</v>
      </c>
      <c r="D2" s="7" t="s">
        <v>46</v>
      </c>
      <c r="E2" s="7" t="s">
        <v>48</v>
      </c>
      <c r="F2" s="7" t="s">
        <v>52</v>
      </c>
      <c r="G2" s="11" t="s">
        <v>55</v>
      </c>
      <c r="H2" s="11" t="s">
        <v>57</v>
      </c>
      <c r="I2" s="11" t="s">
        <v>57</v>
      </c>
      <c r="J2" s="7" t="s">
        <v>55</v>
      </c>
      <c r="K2" s="7"/>
      <c r="L2" s="14" t="str">
        <f t="shared" ref="L2:L1001" si="1">IF(COUNTA(G2:J2)&lt;4,"",IF(AND(G2="Sim",H2="Sim",I2="Sim",J2="Sim",K2=""),"Sim","Não"))</f>
        <v>Não</v>
      </c>
      <c r="M2" s="7"/>
      <c r="N2" s="7"/>
      <c r="O2" s="7" t="s">
        <v>55</v>
      </c>
      <c r="P2" s="7"/>
      <c r="Q2" s="16" t="s">
        <v>55</v>
      </c>
      <c r="R2" s="16" t="s">
        <v>57</v>
      </c>
      <c r="S2" s="16" t="s">
        <v>57</v>
      </c>
      <c r="T2" s="16" t="s">
        <v>55</v>
      </c>
      <c r="U2" s="16" t="s">
        <v>57</v>
      </c>
      <c r="V2" s="16" t="s">
        <v>99</v>
      </c>
      <c r="W2" s="16"/>
      <c r="X2" s="6"/>
      <c r="Y2" s="6"/>
      <c r="Z2" s="6"/>
    </row>
    <row r="3" ht="15.0" customHeight="1">
      <c r="A3" s="7" t="s">
        <v>102</v>
      </c>
      <c r="B3" s="7" t="s">
        <v>103</v>
      </c>
      <c r="C3" s="7" t="s">
        <v>104</v>
      </c>
      <c r="D3" s="7" t="s">
        <v>46</v>
      </c>
      <c r="E3" s="7" t="s">
        <v>107</v>
      </c>
      <c r="F3" s="7" t="s">
        <v>52</v>
      </c>
      <c r="G3" s="11" t="s">
        <v>55</v>
      </c>
      <c r="H3" s="11" t="s">
        <v>55</v>
      </c>
      <c r="I3" s="11" t="s">
        <v>55</v>
      </c>
      <c r="J3" s="7" t="s">
        <v>55</v>
      </c>
      <c r="K3" s="11" t="s">
        <v>117</v>
      </c>
      <c r="L3" s="14" t="str">
        <f t="shared" si="1"/>
        <v>Não</v>
      </c>
      <c r="M3" s="7"/>
      <c r="N3" s="7"/>
      <c r="O3" s="7" t="s">
        <v>55</v>
      </c>
      <c r="P3" s="7"/>
      <c r="Q3" s="16" t="s">
        <v>55</v>
      </c>
      <c r="R3" s="16" t="s">
        <v>55</v>
      </c>
      <c r="S3" s="16" t="s">
        <v>55</v>
      </c>
      <c r="T3" s="16" t="s">
        <v>55</v>
      </c>
      <c r="U3" s="16" t="s">
        <v>55</v>
      </c>
      <c r="V3" s="16" t="s">
        <v>127</v>
      </c>
      <c r="W3" s="16" t="s">
        <v>128</v>
      </c>
      <c r="X3" s="6"/>
      <c r="Y3" s="6"/>
      <c r="Z3" s="6"/>
    </row>
    <row r="4" ht="15.0" customHeight="1">
      <c r="A4" s="7" t="s">
        <v>130</v>
      </c>
      <c r="B4" s="7" t="s">
        <v>131</v>
      </c>
      <c r="C4" s="7" t="s">
        <v>133</v>
      </c>
      <c r="D4" s="7" t="s">
        <v>46</v>
      </c>
      <c r="E4" s="7" t="s">
        <v>138</v>
      </c>
      <c r="F4" s="7" t="s">
        <v>52</v>
      </c>
      <c r="G4" s="11" t="s">
        <v>55</v>
      </c>
      <c r="H4" s="11" t="s">
        <v>55</v>
      </c>
      <c r="I4" s="11" t="s">
        <v>55</v>
      </c>
      <c r="J4" s="7" t="s">
        <v>55</v>
      </c>
      <c r="K4" s="7"/>
      <c r="L4" s="14" t="str">
        <f t="shared" si="1"/>
        <v>Sim</v>
      </c>
      <c r="M4" s="7"/>
      <c r="N4" s="7"/>
      <c r="O4" s="7" t="s">
        <v>55</v>
      </c>
      <c r="P4" s="7"/>
      <c r="Q4" s="16" t="s">
        <v>55</v>
      </c>
      <c r="R4" s="16" t="s">
        <v>55</v>
      </c>
      <c r="S4" s="16" t="s">
        <v>55</v>
      </c>
      <c r="T4" s="16" t="s">
        <v>55</v>
      </c>
      <c r="U4" s="16" t="s">
        <v>55</v>
      </c>
      <c r="V4" s="16" t="s">
        <v>127</v>
      </c>
      <c r="W4" s="16"/>
      <c r="X4" s="6"/>
      <c r="Y4" s="6"/>
      <c r="Z4" s="6"/>
    </row>
    <row r="5" ht="15.0" customHeight="1">
      <c r="A5" s="7" t="s">
        <v>157</v>
      </c>
      <c r="B5" s="7" t="s">
        <v>158</v>
      </c>
      <c r="C5" s="7" t="s">
        <v>160</v>
      </c>
      <c r="D5" s="7" t="s">
        <v>46</v>
      </c>
      <c r="E5" s="7" t="s">
        <v>85</v>
      </c>
      <c r="F5" s="7" t="s">
        <v>52</v>
      </c>
      <c r="G5" s="11" t="s">
        <v>55</v>
      </c>
      <c r="H5" s="11" t="s">
        <v>55</v>
      </c>
      <c r="I5" s="11" t="s">
        <v>55</v>
      </c>
      <c r="J5" s="7" t="s">
        <v>55</v>
      </c>
      <c r="K5" s="7"/>
      <c r="L5" s="14" t="str">
        <f t="shared" si="1"/>
        <v>Sim</v>
      </c>
      <c r="M5" s="7"/>
      <c r="N5" s="7"/>
      <c r="O5" s="7" t="s">
        <v>55</v>
      </c>
      <c r="P5" s="7"/>
      <c r="Q5" s="16" t="s">
        <v>55</v>
      </c>
      <c r="R5" s="16" t="s">
        <v>55</v>
      </c>
      <c r="S5" s="16" t="s">
        <v>55</v>
      </c>
      <c r="T5" s="16" t="s">
        <v>55</v>
      </c>
      <c r="U5" s="16" t="s">
        <v>55</v>
      </c>
      <c r="V5" s="16" t="s">
        <v>184</v>
      </c>
      <c r="W5" s="16"/>
      <c r="X5" s="6"/>
      <c r="Y5" s="6"/>
      <c r="Z5" s="6"/>
    </row>
    <row r="6" ht="15.0" customHeight="1">
      <c r="A6" s="7" t="s">
        <v>188</v>
      </c>
      <c r="B6" s="7" t="s">
        <v>189</v>
      </c>
      <c r="C6" s="7" t="s">
        <v>190</v>
      </c>
      <c r="D6" s="7" t="s">
        <v>46</v>
      </c>
      <c r="E6" s="7" t="s">
        <v>148</v>
      </c>
      <c r="F6" s="7" t="s">
        <v>52</v>
      </c>
      <c r="G6" s="11" t="s">
        <v>55</v>
      </c>
      <c r="H6" s="11" t="s">
        <v>55</v>
      </c>
      <c r="I6" s="11" t="s">
        <v>55</v>
      </c>
      <c r="J6" s="7" t="s">
        <v>55</v>
      </c>
      <c r="K6" s="7"/>
      <c r="L6" s="14" t="str">
        <f t="shared" si="1"/>
        <v>Sim</v>
      </c>
      <c r="M6" s="7"/>
      <c r="N6" s="7"/>
      <c r="O6" s="7" t="s">
        <v>55</v>
      </c>
      <c r="P6" s="7"/>
      <c r="Q6" s="16" t="s">
        <v>55</v>
      </c>
      <c r="R6" s="16" t="s">
        <v>55</v>
      </c>
      <c r="S6" s="16" t="s">
        <v>55</v>
      </c>
      <c r="T6" s="16" t="s">
        <v>55</v>
      </c>
      <c r="U6" s="16" t="s">
        <v>55</v>
      </c>
      <c r="V6" s="16" t="s">
        <v>127</v>
      </c>
      <c r="W6" s="16"/>
      <c r="X6" s="6"/>
      <c r="Y6" s="6"/>
      <c r="Z6" s="6"/>
    </row>
    <row r="7" ht="15.0" customHeight="1">
      <c r="A7" s="7" t="s">
        <v>207</v>
      </c>
      <c r="B7" s="7" t="s">
        <v>208</v>
      </c>
      <c r="C7" s="7" t="s">
        <v>209</v>
      </c>
      <c r="D7" s="7" t="s">
        <v>46</v>
      </c>
      <c r="E7" s="7" t="s">
        <v>138</v>
      </c>
      <c r="F7" s="7" t="s">
        <v>52</v>
      </c>
      <c r="G7" s="11" t="s">
        <v>57</v>
      </c>
      <c r="H7" s="11" t="s">
        <v>55</v>
      </c>
      <c r="I7" s="11" t="s">
        <v>55</v>
      </c>
      <c r="J7" s="7" t="s">
        <v>55</v>
      </c>
      <c r="K7" s="7"/>
      <c r="L7" s="14" t="str">
        <f t="shared" si="1"/>
        <v>Não</v>
      </c>
      <c r="M7" s="7"/>
      <c r="N7" s="7"/>
      <c r="O7" s="7" t="s">
        <v>55</v>
      </c>
      <c r="P7" s="7"/>
      <c r="Q7" s="16" t="s">
        <v>57</v>
      </c>
      <c r="R7" s="16" t="s">
        <v>55</v>
      </c>
      <c r="S7" s="16" t="s">
        <v>55</v>
      </c>
      <c r="T7" s="16" t="s">
        <v>55</v>
      </c>
      <c r="U7" s="16" t="s">
        <v>57</v>
      </c>
      <c r="V7" s="16" t="s">
        <v>225</v>
      </c>
      <c r="W7" s="16"/>
      <c r="X7" s="6"/>
      <c r="Y7" s="6"/>
      <c r="Z7" s="6"/>
    </row>
    <row r="8" ht="15.0" customHeight="1">
      <c r="A8" s="7" t="s">
        <v>226</v>
      </c>
      <c r="B8" s="7" t="s">
        <v>227</v>
      </c>
      <c r="C8" s="7" t="s">
        <v>228</v>
      </c>
      <c r="D8" s="7" t="s">
        <v>46</v>
      </c>
      <c r="E8" s="7" t="s">
        <v>180</v>
      </c>
      <c r="F8" s="7" t="s">
        <v>52</v>
      </c>
      <c r="G8" s="11" t="s">
        <v>55</v>
      </c>
      <c r="H8" s="11" t="s">
        <v>55</v>
      </c>
      <c r="I8" s="11" t="s">
        <v>55</v>
      </c>
      <c r="J8" s="7" t="s">
        <v>55</v>
      </c>
      <c r="K8" s="7"/>
      <c r="L8" s="14" t="str">
        <f t="shared" si="1"/>
        <v>Sim</v>
      </c>
      <c r="M8" s="7"/>
      <c r="N8" s="7"/>
      <c r="O8" s="7" t="s">
        <v>55</v>
      </c>
      <c r="P8" s="7"/>
      <c r="Q8" s="16" t="s">
        <v>55</v>
      </c>
      <c r="R8" s="16" t="s">
        <v>55</v>
      </c>
      <c r="S8" s="16" t="s">
        <v>55</v>
      </c>
      <c r="T8" s="16" t="s">
        <v>55</v>
      </c>
      <c r="U8" s="16" t="s">
        <v>55</v>
      </c>
      <c r="V8" s="16" t="s">
        <v>127</v>
      </c>
      <c r="W8" s="16"/>
      <c r="X8" s="6"/>
      <c r="Y8" s="6"/>
      <c r="Z8" s="6"/>
    </row>
    <row r="9" ht="15.0" customHeight="1">
      <c r="A9" s="7" t="s">
        <v>239</v>
      </c>
      <c r="B9" s="7" t="s">
        <v>240</v>
      </c>
      <c r="C9" s="7" t="s">
        <v>241</v>
      </c>
      <c r="D9" s="7" t="s">
        <v>46</v>
      </c>
      <c r="E9" s="7" t="s">
        <v>85</v>
      </c>
      <c r="F9" s="7" t="s">
        <v>52</v>
      </c>
      <c r="G9" s="11" t="s">
        <v>55</v>
      </c>
      <c r="H9" s="11" t="s">
        <v>55</v>
      </c>
      <c r="I9" s="11" t="s">
        <v>55</v>
      </c>
      <c r="J9" s="7" t="s">
        <v>55</v>
      </c>
      <c r="K9" s="7"/>
      <c r="L9" s="14" t="str">
        <f t="shared" si="1"/>
        <v>Sim</v>
      </c>
      <c r="M9" s="7"/>
      <c r="N9" s="7"/>
      <c r="O9" s="7" t="s">
        <v>55</v>
      </c>
      <c r="P9" s="7"/>
      <c r="Q9" s="16" t="s">
        <v>55</v>
      </c>
      <c r="R9" s="16" t="s">
        <v>55</v>
      </c>
      <c r="S9" s="16" t="s">
        <v>55</v>
      </c>
      <c r="T9" s="16" t="s">
        <v>55</v>
      </c>
      <c r="U9" s="16" t="s">
        <v>55</v>
      </c>
      <c r="V9" s="16" t="s">
        <v>127</v>
      </c>
      <c r="W9" s="16"/>
      <c r="X9" s="6"/>
      <c r="Y9" s="6"/>
      <c r="Z9" s="6"/>
    </row>
    <row r="10" ht="15.0" customHeight="1">
      <c r="A10" s="7" t="s">
        <v>255</v>
      </c>
      <c r="B10" s="7" t="s">
        <v>257</v>
      </c>
      <c r="C10" s="7" t="s">
        <v>258</v>
      </c>
      <c r="D10" s="7" t="s">
        <v>46</v>
      </c>
      <c r="E10" s="7" t="s">
        <v>85</v>
      </c>
      <c r="F10" s="7" t="s">
        <v>52</v>
      </c>
      <c r="G10" s="11" t="s">
        <v>55</v>
      </c>
      <c r="H10" s="11" t="s">
        <v>55</v>
      </c>
      <c r="I10" s="11" t="s">
        <v>55</v>
      </c>
      <c r="J10" s="7" t="s">
        <v>55</v>
      </c>
      <c r="K10" s="11" t="s">
        <v>265</v>
      </c>
      <c r="L10" s="14" t="str">
        <f t="shared" si="1"/>
        <v>Não</v>
      </c>
      <c r="M10" s="7"/>
      <c r="N10" s="7"/>
      <c r="O10" s="7" t="s">
        <v>55</v>
      </c>
      <c r="P10" s="7"/>
      <c r="Q10" s="16" t="s">
        <v>55</v>
      </c>
      <c r="R10" s="16" t="s">
        <v>55</v>
      </c>
      <c r="S10" s="16" t="s">
        <v>55</v>
      </c>
      <c r="T10" s="16" t="s">
        <v>55</v>
      </c>
      <c r="U10" s="16" t="s">
        <v>55</v>
      </c>
      <c r="V10" s="16" t="s">
        <v>127</v>
      </c>
      <c r="W10" s="16" t="s">
        <v>270</v>
      </c>
      <c r="X10" s="6"/>
      <c r="Y10" s="6"/>
      <c r="Z10" s="6"/>
    </row>
    <row r="11" ht="15.0" customHeight="1">
      <c r="A11" s="7" t="s">
        <v>272</v>
      </c>
      <c r="B11" s="7" t="s">
        <v>274</v>
      </c>
      <c r="C11" s="7" t="s">
        <v>276</v>
      </c>
      <c r="D11" s="7" t="s">
        <v>46</v>
      </c>
      <c r="E11" s="7" t="s">
        <v>148</v>
      </c>
      <c r="F11" s="7" t="s">
        <v>52</v>
      </c>
      <c r="G11" s="11" t="s">
        <v>55</v>
      </c>
      <c r="H11" s="11" t="s">
        <v>55</v>
      </c>
      <c r="I11" s="11" t="s">
        <v>55</v>
      </c>
      <c r="J11" s="7" t="s">
        <v>55</v>
      </c>
      <c r="K11" s="7"/>
      <c r="L11" s="14" t="str">
        <f t="shared" si="1"/>
        <v>Sim</v>
      </c>
      <c r="M11" s="11" t="s">
        <v>87</v>
      </c>
      <c r="N11" s="7"/>
      <c r="O11" s="7" t="s">
        <v>55</v>
      </c>
      <c r="P11" s="7"/>
      <c r="Q11" s="16" t="s">
        <v>55</v>
      </c>
      <c r="R11" s="16" t="s">
        <v>55</v>
      </c>
      <c r="S11" s="16" t="s">
        <v>55</v>
      </c>
      <c r="T11" s="16" t="s">
        <v>55</v>
      </c>
      <c r="U11" s="16" t="s">
        <v>55</v>
      </c>
      <c r="V11" s="16" t="s">
        <v>127</v>
      </c>
      <c r="W11" s="16"/>
      <c r="X11" s="6"/>
      <c r="Y11" s="6"/>
      <c r="Z11" s="6"/>
    </row>
    <row r="12" ht="15.0" customHeight="1">
      <c r="A12" s="7" t="s">
        <v>282</v>
      </c>
      <c r="B12" s="7" t="s">
        <v>283</v>
      </c>
      <c r="C12" s="7" t="s">
        <v>284</v>
      </c>
      <c r="D12" s="7" t="s">
        <v>46</v>
      </c>
      <c r="E12" s="7" t="s">
        <v>220</v>
      </c>
      <c r="F12" s="7" t="s">
        <v>52</v>
      </c>
      <c r="G12" s="11" t="s">
        <v>55</v>
      </c>
      <c r="H12" s="11" t="s">
        <v>55</v>
      </c>
      <c r="I12" s="11" t="s">
        <v>55</v>
      </c>
      <c r="J12" s="7" t="s">
        <v>55</v>
      </c>
      <c r="K12" s="7"/>
      <c r="L12" s="14" t="str">
        <f t="shared" si="1"/>
        <v>Sim</v>
      </c>
      <c r="M12" s="11" t="s">
        <v>87</v>
      </c>
      <c r="N12" s="7"/>
      <c r="O12" s="7" t="s">
        <v>55</v>
      </c>
      <c r="P12" s="7"/>
      <c r="Q12" s="16" t="s">
        <v>55</v>
      </c>
      <c r="R12" s="16" t="s">
        <v>55</v>
      </c>
      <c r="S12" s="16" t="s">
        <v>55</v>
      </c>
      <c r="T12" s="16" t="s">
        <v>55</v>
      </c>
      <c r="U12" s="16" t="s">
        <v>55</v>
      </c>
      <c r="V12" s="16" t="s">
        <v>127</v>
      </c>
      <c r="W12" s="16"/>
      <c r="X12" s="6"/>
      <c r="Y12" s="6"/>
      <c r="Z12" s="6"/>
    </row>
    <row r="13" ht="29.25" customHeight="1">
      <c r="A13" s="7" t="s">
        <v>292</v>
      </c>
      <c r="B13" s="7" t="s">
        <v>295</v>
      </c>
      <c r="C13" s="7" t="s">
        <v>296</v>
      </c>
      <c r="D13" s="7" t="s">
        <v>46</v>
      </c>
      <c r="E13" s="7" t="s">
        <v>243</v>
      </c>
      <c r="F13" s="7" t="s">
        <v>52</v>
      </c>
      <c r="G13" s="11" t="s">
        <v>55</v>
      </c>
      <c r="H13" s="11" t="s">
        <v>55</v>
      </c>
      <c r="I13" s="11" t="s">
        <v>55</v>
      </c>
      <c r="J13" s="7" t="s">
        <v>55</v>
      </c>
      <c r="K13" s="11" t="s">
        <v>305</v>
      </c>
      <c r="L13" s="14" t="str">
        <f t="shared" si="1"/>
        <v>Não</v>
      </c>
      <c r="M13" s="7"/>
      <c r="N13" s="7"/>
      <c r="O13" s="7" t="s">
        <v>55</v>
      </c>
      <c r="P13" s="7"/>
      <c r="Q13" s="16" t="s">
        <v>55</v>
      </c>
      <c r="R13" s="16" t="s">
        <v>55</v>
      </c>
      <c r="S13" s="16" t="s">
        <v>55</v>
      </c>
      <c r="T13" s="16" t="s">
        <v>55</v>
      </c>
      <c r="U13" s="16" t="s">
        <v>55</v>
      </c>
      <c r="V13" s="16" t="s">
        <v>127</v>
      </c>
      <c r="W13" s="16" t="s">
        <v>311</v>
      </c>
      <c r="X13" s="6"/>
      <c r="Y13" s="6"/>
      <c r="Z13" s="6"/>
    </row>
    <row r="14" ht="15.0" customHeight="1">
      <c r="A14" s="7" t="s">
        <v>312</v>
      </c>
      <c r="B14" s="7" t="s">
        <v>313</v>
      </c>
      <c r="C14" s="7" t="s">
        <v>314</v>
      </c>
      <c r="D14" s="7" t="s">
        <v>46</v>
      </c>
      <c r="E14" s="7" t="s">
        <v>259</v>
      </c>
      <c r="F14" s="7" t="s">
        <v>52</v>
      </c>
      <c r="G14" s="11" t="s">
        <v>55</v>
      </c>
      <c r="H14" s="11" t="s">
        <v>55</v>
      </c>
      <c r="I14" s="11" t="s">
        <v>55</v>
      </c>
      <c r="J14" s="7" t="s">
        <v>55</v>
      </c>
      <c r="K14" s="11" t="s">
        <v>321</v>
      </c>
      <c r="L14" s="14" t="str">
        <f t="shared" si="1"/>
        <v>Não</v>
      </c>
      <c r="M14" s="7"/>
      <c r="N14" s="7"/>
      <c r="O14" s="7" t="s">
        <v>55</v>
      </c>
      <c r="P14" s="7"/>
      <c r="Q14" s="16" t="s">
        <v>55</v>
      </c>
      <c r="R14" s="16" t="s">
        <v>55</v>
      </c>
      <c r="S14" s="16" t="s">
        <v>55</v>
      </c>
      <c r="T14" s="16" t="s">
        <v>55</v>
      </c>
      <c r="U14" s="16" t="s">
        <v>55</v>
      </c>
      <c r="V14" s="16" t="s">
        <v>127</v>
      </c>
      <c r="W14" s="16" t="s">
        <v>322</v>
      </c>
      <c r="X14" s="6"/>
      <c r="Y14" s="6"/>
      <c r="Z14" s="6"/>
    </row>
    <row r="15" ht="31.5" customHeight="1">
      <c r="A15" s="7" t="s">
        <v>325</v>
      </c>
      <c r="B15" s="7" t="s">
        <v>326</v>
      </c>
      <c r="C15" s="7" t="s">
        <v>327</v>
      </c>
      <c r="D15" s="7" t="s">
        <v>46</v>
      </c>
      <c r="E15" s="7" t="s">
        <v>267</v>
      </c>
      <c r="F15" s="7" t="s">
        <v>52</v>
      </c>
      <c r="G15" s="11" t="s">
        <v>55</v>
      </c>
      <c r="H15" s="11" t="s">
        <v>55</v>
      </c>
      <c r="I15" s="11" t="s">
        <v>55</v>
      </c>
      <c r="J15" s="7" t="s">
        <v>55</v>
      </c>
      <c r="K15" s="11" t="s">
        <v>329</v>
      </c>
      <c r="L15" s="14" t="str">
        <f t="shared" si="1"/>
        <v>Não</v>
      </c>
      <c r="M15" s="7"/>
      <c r="N15" s="7"/>
      <c r="O15" s="7" t="s">
        <v>55</v>
      </c>
      <c r="P15" s="7"/>
      <c r="Q15" s="16" t="s">
        <v>55</v>
      </c>
      <c r="R15" s="16" t="s">
        <v>55</v>
      </c>
      <c r="S15" s="16" t="s">
        <v>55</v>
      </c>
      <c r="T15" s="16" t="s">
        <v>55</v>
      </c>
      <c r="U15" s="16" t="s">
        <v>55</v>
      </c>
      <c r="V15" s="16" t="s">
        <v>127</v>
      </c>
      <c r="W15" s="16" t="s">
        <v>331</v>
      </c>
      <c r="X15" s="6"/>
      <c r="Y15" s="6"/>
      <c r="Z15" s="6"/>
    </row>
    <row r="16" ht="15.0" customHeight="1">
      <c r="A16" s="7" t="s">
        <v>333</v>
      </c>
      <c r="B16" s="7" t="s">
        <v>334</v>
      </c>
      <c r="C16" s="7" t="s">
        <v>335</v>
      </c>
      <c r="D16" s="7" t="s">
        <v>46</v>
      </c>
      <c r="E16" s="7" t="s">
        <v>48</v>
      </c>
      <c r="F16" s="7" t="s">
        <v>52</v>
      </c>
      <c r="G16" s="11" t="s">
        <v>55</v>
      </c>
      <c r="H16" s="11" t="s">
        <v>55</v>
      </c>
      <c r="I16" s="11" t="s">
        <v>55</v>
      </c>
      <c r="J16" s="7" t="s">
        <v>55</v>
      </c>
      <c r="K16" s="11" t="s">
        <v>336</v>
      </c>
      <c r="L16" s="14" t="str">
        <f t="shared" si="1"/>
        <v>Não</v>
      </c>
      <c r="M16" s="7"/>
      <c r="N16" s="7"/>
      <c r="O16" s="7" t="s">
        <v>55</v>
      </c>
      <c r="P16" s="7"/>
      <c r="Q16" s="16" t="s">
        <v>55</v>
      </c>
      <c r="R16" s="16" t="s">
        <v>55</v>
      </c>
      <c r="S16" s="16" t="s">
        <v>55</v>
      </c>
      <c r="T16" s="16" t="s">
        <v>55</v>
      </c>
      <c r="U16" s="16" t="s">
        <v>55</v>
      </c>
      <c r="V16" s="16" t="s">
        <v>127</v>
      </c>
      <c r="W16" s="16" t="s">
        <v>338</v>
      </c>
      <c r="X16" s="6"/>
      <c r="Y16" s="6"/>
      <c r="Z16" s="6"/>
    </row>
    <row r="17" ht="15.0" customHeight="1">
      <c r="A17" s="7" t="s">
        <v>339</v>
      </c>
      <c r="B17" s="7" t="s">
        <v>340</v>
      </c>
      <c r="C17" s="7" t="s">
        <v>341</v>
      </c>
      <c r="D17" s="7" t="s">
        <v>46</v>
      </c>
      <c r="E17" s="7" t="s">
        <v>85</v>
      </c>
      <c r="F17" s="7" t="s">
        <v>52</v>
      </c>
      <c r="G17" s="11" t="s">
        <v>55</v>
      </c>
      <c r="H17" s="11" t="s">
        <v>55</v>
      </c>
      <c r="I17" s="11" t="s">
        <v>55</v>
      </c>
      <c r="J17" s="7" t="s">
        <v>55</v>
      </c>
      <c r="K17" s="11" t="s">
        <v>342</v>
      </c>
      <c r="L17" s="14" t="str">
        <f t="shared" si="1"/>
        <v>Não</v>
      </c>
      <c r="M17" s="7"/>
      <c r="N17" s="7"/>
      <c r="O17" s="7" t="s">
        <v>55</v>
      </c>
      <c r="P17" s="7"/>
      <c r="Q17" s="16" t="s">
        <v>55</v>
      </c>
      <c r="R17" s="16" t="s">
        <v>55</v>
      </c>
      <c r="S17" s="16" t="s">
        <v>55</v>
      </c>
      <c r="T17" s="16" t="s">
        <v>55</v>
      </c>
      <c r="U17" s="16" t="s">
        <v>55</v>
      </c>
      <c r="V17" s="16" t="s">
        <v>127</v>
      </c>
      <c r="W17" s="16" t="s">
        <v>344</v>
      </c>
      <c r="X17" s="6"/>
      <c r="Y17" s="6"/>
      <c r="Z17" s="6"/>
    </row>
    <row r="18" ht="15.0" customHeight="1">
      <c r="A18" s="7" t="s">
        <v>345</v>
      </c>
      <c r="B18" s="7" t="s">
        <v>346</v>
      </c>
      <c r="C18" s="7" t="s">
        <v>347</v>
      </c>
      <c r="D18" s="7" t="s">
        <v>46</v>
      </c>
      <c r="E18" s="7" t="s">
        <v>85</v>
      </c>
      <c r="F18" s="7" t="s">
        <v>52</v>
      </c>
      <c r="G18" s="11" t="s">
        <v>55</v>
      </c>
      <c r="H18" s="11" t="s">
        <v>55</v>
      </c>
      <c r="I18" s="11" t="s">
        <v>55</v>
      </c>
      <c r="J18" s="7" t="s">
        <v>55</v>
      </c>
      <c r="K18" s="11" t="s">
        <v>348</v>
      </c>
      <c r="L18" s="14" t="str">
        <f t="shared" si="1"/>
        <v>Não</v>
      </c>
      <c r="M18" s="7"/>
      <c r="N18" s="7"/>
      <c r="O18" s="7" t="s">
        <v>55</v>
      </c>
      <c r="P18" s="7"/>
      <c r="Q18" s="16" t="s">
        <v>55</v>
      </c>
      <c r="R18" s="16" t="s">
        <v>55</v>
      </c>
      <c r="S18" s="16" t="s">
        <v>55</v>
      </c>
      <c r="T18" s="16" t="s">
        <v>55</v>
      </c>
      <c r="U18" s="16" t="s">
        <v>55</v>
      </c>
      <c r="V18" s="16" t="s">
        <v>127</v>
      </c>
      <c r="W18" s="16" t="s">
        <v>349</v>
      </c>
      <c r="X18" s="6"/>
      <c r="Y18" s="6"/>
      <c r="Z18" s="6"/>
    </row>
    <row r="19" ht="15.0" customHeight="1">
      <c r="A19" s="7" t="s">
        <v>350</v>
      </c>
      <c r="B19" s="7" t="s">
        <v>351</v>
      </c>
      <c r="C19" s="7" t="s">
        <v>352</v>
      </c>
      <c r="D19" s="7" t="s">
        <v>46</v>
      </c>
      <c r="E19" s="7" t="s">
        <v>48</v>
      </c>
      <c r="F19" s="7" t="s">
        <v>52</v>
      </c>
      <c r="G19" s="11" t="s">
        <v>55</v>
      </c>
      <c r="H19" s="11" t="s">
        <v>55</v>
      </c>
      <c r="I19" s="11" t="s">
        <v>55</v>
      </c>
      <c r="J19" s="7" t="s">
        <v>55</v>
      </c>
      <c r="K19" s="11" t="s">
        <v>356</v>
      </c>
      <c r="L19" s="14" t="str">
        <f t="shared" si="1"/>
        <v>Não</v>
      </c>
      <c r="M19" s="7"/>
      <c r="N19" s="7"/>
      <c r="O19" s="7" t="s">
        <v>55</v>
      </c>
      <c r="P19" s="7"/>
      <c r="Q19" s="16" t="s">
        <v>55</v>
      </c>
      <c r="R19" s="16" t="s">
        <v>55</v>
      </c>
      <c r="S19" s="16" t="s">
        <v>55</v>
      </c>
      <c r="T19" s="16" t="s">
        <v>55</v>
      </c>
      <c r="U19" s="16" t="s">
        <v>55</v>
      </c>
      <c r="V19" s="16" t="s">
        <v>127</v>
      </c>
      <c r="W19" s="16" t="s">
        <v>358</v>
      </c>
      <c r="X19" s="6"/>
      <c r="Y19" s="6"/>
      <c r="Z19" s="6"/>
    </row>
    <row r="20" ht="15.0" customHeight="1">
      <c r="A20" s="7" t="s">
        <v>359</v>
      </c>
      <c r="B20" s="7" t="s">
        <v>360</v>
      </c>
      <c r="C20" s="7" t="s">
        <v>361</v>
      </c>
      <c r="D20" s="7" t="s">
        <v>46</v>
      </c>
      <c r="E20" s="7" t="s">
        <v>267</v>
      </c>
      <c r="F20" s="7" t="s">
        <v>52</v>
      </c>
      <c r="G20" s="11" t="s">
        <v>55</v>
      </c>
      <c r="H20" s="11" t="s">
        <v>55</v>
      </c>
      <c r="I20" s="11" t="s">
        <v>55</v>
      </c>
      <c r="J20" s="7" t="s">
        <v>55</v>
      </c>
      <c r="K20" s="7"/>
      <c r="L20" s="14" t="str">
        <f t="shared" si="1"/>
        <v>Sim</v>
      </c>
      <c r="M20" s="7"/>
      <c r="N20" s="7"/>
      <c r="O20" s="7" t="s">
        <v>55</v>
      </c>
      <c r="P20" s="7"/>
      <c r="Q20" s="16" t="s">
        <v>55</v>
      </c>
      <c r="R20" s="16" t="s">
        <v>55</v>
      </c>
      <c r="S20" s="16" t="s">
        <v>55</v>
      </c>
      <c r="T20" s="16" t="s">
        <v>55</v>
      </c>
      <c r="U20" s="16" t="s">
        <v>55</v>
      </c>
      <c r="V20" s="16" t="s">
        <v>127</v>
      </c>
      <c r="W20" s="16"/>
      <c r="X20" s="6"/>
      <c r="Y20" s="6"/>
      <c r="Z20" s="6"/>
    </row>
    <row r="21" ht="15.0" customHeight="1">
      <c r="A21" s="7" t="s">
        <v>363</v>
      </c>
      <c r="B21" s="7" t="s">
        <v>364</v>
      </c>
      <c r="C21" s="7" t="s">
        <v>365</v>
      </c>
      <c r="D21" s="7" t="s">
        <v>46</v>
      </c>
      <c r="E21" s="7" t="s">
        <v>107</v>
      </c>
      <c r="F21" s="7" t="s">
        <v>52</v>
      </c>
      <c r="G21" s="11" t="s">
        <v>55</v>
      </c>
      <c r="H21" s="11" t="s">
        <v>55</v>
      </c>
      <c r="I21" s="11" t="s">
        <v>55</v>
      </c>
      <c r="J21" s="7" t="s">
        <v>55</v>
      </c>
      <c r="K21" s="7"/>
      <c r="L21" s="14" t="str">
        <f t="shared" si="1"/>
        <v>Sim</v>
      </c>
      <c r="M21" s="7"/>
      <c r="N21" s="7"/>
      <c r="O21" s="7" t="s">
        <v>55</v>
      </c>
      <c r="P21" s="7"/>
      <c r="Q21" s="16" t="s">
        <v>55</v>
      </c>
      <c r="R21" s="16" t="s">
        <v>55</v>
      </c>
      <c r="S21" s="16" t="s">
        <v>55</v>
      </c>
      <c r="T21" s="16" t="s">
        <v>55</v>
      </c>
      <c r="U21" s="16" t="s">
        <v>55</v>
      </c>
      <c r="V21" s="16" t="s">
        <v>184</v>
      </c>
      <c r="W21" s="16"/>
      <c r="X21" s="6"/>
      <c r="Y21" s="6"/>
      <c r="Z21" s="6"/>
    </row>
    <row r="22" ht="15.0" customHeight="1">
      <c r="A22" s="7" t="s">
        <v>369</v>
      </c>
      <c r="B22" s="7" t="s">
        <v>370</v>
      </c>
      <c r="C22" s="7" t="s">
        <v>371</v>
      </c>
      <c r="D22" s="7" t="s">
        <v>46</v>
      </c>
      <c r="E22" s="7" t="s">
        <v>291</v>
      </c>
      <c r="F22" s="7" t="s">
        <v>52</v>
      </c>
      <c r="G22" s="11" t="s">
        <v>55</v>
      </c>
      <c r="H22" s="11" t="s">
        <v>55</v>
      </c>
      <c r="I22" s="11" t="s">
        <v>55</v>
      </c>
      <c r="J22" s="7" t="s">
        <v>55</v>
      </c>
      <c r="K22" s="11" t="s">
        <v>373</v>
      </c>
      <c r="L22" s="14" t="str">
        <f t="shared" si="1"/>
        <v>Não</v>
      </c>
      <c r="M22" s="7"/>
      <c r="N22" s="7"/>
      <c r="O22" s="7" t="s">
        <v>55</v>
      </c>
      <c r="P22" s="7"/>
      <c r="Q22" s="16" t="s">
        <v>55</v>
      </c>
      <c r="R22" s="16" t="s">
        <v>55</v>
      </c>
      <c r="S22" s="16" t="s">
        <v>55</v>
      </c>
      <c r="T22" s="16" t="s">
        <v>55</v>
      </c>
      <c r="U22" s="16" t="s">
        <v>55</v>
      </c>
      <c r="V22" s="16" t="s">
        <v>127</v>
      </c>
      <c r="W22" s="16" t="s">
        <v>376</v>
      </c>
      <c r="X22" s="6"/>
      <c r="Y22" s="6"/>
      <c r="Z22" s="6"/>
    </row>
    <row r="23" ht="30.75" customHeight="1">
      <c r="A23" s="7" t="s">
        <v>377</v>
      </c>
      <c r="B23" s="7" t="s">
        <v>378</v>
      </c>
      <c r="C23" s="7" t="s">
        <v>379</v>
      </c>
      <c r="D23" s="7" t="s">
        <v>46</v>
      </c>
      <c r="E23" s="7" t="s">
        <v>267</v>
      </c>
      <c r="F23" s="7" t="s">
        <v>52</v>
      </c>
      <c r="G23" s="11" t="s">
        <v>55</v>
      </c>
      <c r="H23" s="11" t="s">
        <v>55</v>
      </c>
      <c r="I23" s="11" t="s">
        <v>55</v>
      </c>
      <c r="J23" s="7" t="s">
        <v>55</v>
      </c>
      <c r="K23" s="11" t="s">
        <v>380</v>
      </c>
      <c r="L23" s="14" t="str">
        <f t="shared" si="1"/>
        <v>Não</v>
      </c>
      <c r="M23" s="7"/>
      <c r="N23" s="7"/>
      <c r="O23" s="7" t="s">
        <v>55</v>
      </c>
      <c r="P23" s="7"/>
      <c r="Q23" s="16" t="s">
        <v>55</v>
      </c>
      <c r="R23" s="16" t="s">
        <v>55</v>
      </c>
      <c r="S23" s="16" t="s">
        <v>55</v>
      </c>
      <c r="T23" s="16" t="s">
        <v>55</v>
      </c>
      <c r="U23" s="16" t="s">
        <v>55</v>
      </c>
      <c r="V23" s="16" t="s">
        <v>127</v>
      </c>
      <c r="W23" s="16" t="s">
        <v>382</v>
      </c>
      <c r="X23" s="6"/>
      <c r="Y23" s="6"/>
      <c r="Z23" s="6"/>
    </row>
    <row r="24" ht="15.0" customHeight="1">
      <c r="A24" s="7" t="s">
        <v>383</v>
      </c>
      <c r="B24" s="7" t="s">
        <v>384</v>
      </c>
      <c r="C24" s="7" t="s">
        <v>385</v>
      </c>
      <c r="D24" s="7" t="s">
        <v>46</v>
      </c>
      <c r="E24" s="7" t="s">
        <v>267</v>
      </c>
      <c r="F24" s="7" t="s">
        <v>52</v>
      </c>
      <c r="G24" s="11" t="s">
        <v>55</v>
      </c>
      <c r="H24" s="11" t="s">
        <v>55</v>
      </c>
      <c r="I24" s="11" t="s">
        <v>55</v>
      </c>
      <c r="J24" s="7" t="s">
        <v>55</v>
      </c>
      <c r="K24" s="11" t="s">
        <v>386</v>
      </c>
      <c r="L24" s="14" t="str">
        <f t="shared" si="1"/>
        <v>Não</v>
      </c>
      <c r="M24" s="7"/>
      <c r="N24" s="7"/>
      <c r="O24" s="7" t="s">
        <v>55</v>
      </c>
      <c r="P24" s="7"/>
      <c r="Q24" s="16" t="s">
        <v>55</v>
      </c>
      <c r="R24" s="16" t="s">
        <v>55</v>
      </c>
      <c r="S24" s="16" t="s">
        <v>55</v>
      </c>
      <c r="T24" s="16" t="s">
        <v>55</v>
      </c>
      <c r="U24" s="16" t="s">
        <v>55</v>
      </c>
      <c r="V24" s="16" t="s">
        <v>127</v>
      </c>
      <c r="W24" s="16" t="s">
        <v>387</v>
      </c>
      <c r="X24" s="6"/>
      <c r="Y24" s="6"/>
      <c r="Z24" s="6"/>
    </row>
    <row r="25" ht="15.0" customHeight="1">
      <c r="A25" s="7" t="s">
        <v>388</v>
      </c>
      <c r="B25" s="7" t="s">
        <v>389</v>
      </c>
      <c r="C25" s="7" t="s">
        <v>390</v>
      </c>
      <c r="D25" s="7" t="s">
        <v>46</v>
      </c>
      <c r="E25" s="7" t="s">
        <v>286</v>
      </c>
      <c r="F25" s="7" t="s">
        <v>52</v>
      </c>
      <c r="G25" s="11" t="s">
        <v>55</v>
      </c>
      <c r="H25" s="11" t="s">
        <v>55</v>
      </c>
      <c r="I25" s="11" t="s">
        <v>55</v>
      </c>
      <c r="J25" s="7" t="s">
        <v>55</v>
      </c>
      <c r="K25" s="7"/>
      <c r="L25" s="14" t="str">
        <f t="shared" si="1"/>
        <v>Sim</v>
      </c>
      <c r="M25" s="7"/>
      <c r="N25" s="7"/>
      <c r="O25" s="7" t="s">
        <v>55</v>
      </c>
      <c r="P25" s="7"/>
      <c r="Q25" s="16" t="s">
        <v>57</v>
      </c>
      <c r="R25" s="16" t="s">
        <v>55</v>
      </c>
      <c r="S25" s="16" t="s">
        <v>55</v>
      </c>
      <c r="T25" s="16" t="s">
        <v>55</v>
      </c>
      <c r="U25" s="16" t="s">
        <v>57</v>
      </c>
      <c r="V25" s="16" t="s">
        <v>225</v>
      </c>
      <c r="W25" s="16"/>
      <c r="X25" s="6"/>
      <c r="Y25" s="6"/>
      <c r="Z25" s="6"/>
    </row>
    <row r="26" ht="30.75" customHeight="1">
      <c r="A26" s="7" t="s">
        <v>394</v>
      </c>
      <c r="B26" s="7" t="s">
        <v>395</v>
      </c>
      <c r="C26" s="7" t="s">
        <v>396</v>
      </c>
      <c r="D26" s="7" t="s">
        <v>46</v>
      </c>
      <c r="E26" s="7" t="s">
        <v>136</v>
      </c>
      <c r="F26" s="7" t="s">
        <v>52</v>
      </c>
      <c r="G26" s="11" t="s">
        <v>55</v>
      </c>
      <c r="H26" s="11" t="s">
        <v>55</v>
      </c>
      <c r="I26" s="11" t="s">
        <v>55</v>
      </c>
      <c r="J26" s="7" t="s">
        <v>55</v>
      </c>
      <c r="K26" s="11" t="s">
        <v>397</v>
      </c>
      <c r="L26" s="14" t="str">
        <f t="shared" si="1"/>
        <v>Não</v>
      </c>
      <c r="M26" s="7"/>
      <c r="N26" s="7"/>
      <c r="O26" s="7" t="s">
        <v>55</v>
      </c>
      <c r="P26" s="7"/>
      <c r="Q26" s="16" t="s">
        <v>55</v>
      </c>
      <c r="R26" s="16" t="s">
        <v>55</v>
      </c>
      <c r="S26" s="16" t="s">
        <v>55</v>
      </c>
      <c r="T26" s="16" t="s">
        <v>55</v>
      </c>
      <c r="U26" s="16" t="s">
        <v>55</v>
      </c>
      <c r="V26" s="16" t="s">
        <v>127</v>
      </c>
      <c r="W26" s="16" t="s">
        <v>398</v>
      </c>
      <c r="X26" s="6"/>
      <c r="Y26" s="6"/>
      <c r="Z26" s="6"/>
    </row>
    <row r="27" ht="15.0" customHeight="1">
      <c r="A27" s="7" t="s">
        <v>399</v>
      </c>
      <c r="B27" s="7" t="s">
        <v>400</v>
      </c>
      <c r="C27" s="7" t="s">
        <v>401</v>
      </c>
      <c r="D27" s="7" t="s">
        <v>46</v>
      </c>
      <c r="E27" s="7" t="s">
        <v>138</v>
      </c>
      <c r="F27" s="7" t="s">
        <v>52</v>
      </c>
      <c r="G27" s="11" t="s">
        <v>55</v>
      </c>
      <c r="H27" s="11" t="s">
        <v>55</v>
      </c>
      <c r="I27" s="11" t="s">
        <v>55</v>
      </c>
      <c r="J27" s="7" t="s">
        <v>55</v>
      </c>
      <c r="K27" s="7"/>
      <c r="L27" s="14" t="str">
        <f t="shared" si="1"/>
        <v>Sim</v>
      </c>
      <c r="M27" s="7"/>
      <c r="N27" s="7"/>
      <c r="O27" s="7" t="s">
        <v>55</v>
      </c>
      <c r="P27" s="7"/>
      <c r="Q27" s="16" t="s">
        <v>55</v>
      </c>
      <c r="R27" s="16" t="s">
        <v>55</v>
      </c>
      <c r="S27" s="16" t="s">
        <v>55</v>
      </c>
      <c r="T27" s="16" t="s">
        <v>55</v>
      </c>
      <c r="U27" s="16" t="s">
        <v>55</v>
      </c>
      <c r="V27" s="16" t="s">
        <v>127</v>
      </c>
      <c r="W27" s="16"/>
      <c r="X27" s="6"/>
      <c r="Y27" s="6"/>
      <c r="Z27" s="6"/>
    </row>
    <row r="28" ht="15.0" customHeight="1">
      <c r="A28" s="7" t="s">
        <v>402</v>
      </c>
      <c r="B28" s="7" t="s">
        <v>403</v>
      </c>
      <c r="C28" s="7" t="s">
        <v>404</v>
      </c>
      <c r="D28" s="7" t="s">
        <v>46</v>
      </c>
      <c r="E28" s="7" t="s">
        <v>80</v>
      </c>
      <c r="F28" s="7" t="s">
        <v>52</v>
      </c>
      <c r="G28" s="11" t="s">
        <v>55</v>
      </c>
      <c r="H28" s="11" t="s">
        <v>57</v>
      </c>
      <c r="I28" s="11" t="s">
        <v>57</v>
      </c>
      <c r="J28" s="7" t="s">
        <v>55</v>
      </c>
      <c r="K28" s="7"/>
      <c r="L28" s="14" t="str">
        <f t="shared" si="1"/>
        <v>Não</v>
      </c>
      <c r="M28" s="7"/>
      <c r="N28" s="7"/>
      <c r="O28" s="7" t="s">
        <v>55</v>
      </c>
      <c r="P28" s="7"/>
      <c r="Q28" s="16" t="s">
        <v>55</v>
      </c>
      <c r="R28" s="16" t="s">
        <v>57</v>
      </c>
      <c r="S28" s="16" t="s">
        <v>57</v>
      </c>
      <c r="T28" s="16" t="s">
        <v>55</v>
      </c>
      <c r="U28" s="16" t="s">
        <v>57</v>
      </c>
      <c r="V28" s="16" t="s">
        <v>99</v>
      </c>
      <c r="W28" s="16"/>
      <c r="X28" s="6"/>
      <c r="Y28" s="6"/>
      <c r="Z28" s="6"/>
    </row>
    <row r="29" ht="15.0" customHeight="1">
      <c r="A29" s="7" t="s">
        <v>406</v>
      </c>
      <c r="B29" s="7" t="s">
        <v>407</v>
      </c>
      <c r="C29" s="7" t="s">
        <v>408</v>
      </c>
      <c r="D29" s="7" t="s">
        <v>46</v>
      </c>
      <c r="E29" s="7" t="s">
        <v>243</v>
      </c>
      <c r="F29" s="7" t="s">
        <v>52</v>
      </c>
      <c r="G29" s="11" t="s">
        <v>55</v>
      </c>
      <c r="H29" s="11" t="s">
        <v>55</v>
      </c>
      <c r="I29" s="11" t="s">
        <v>55</v>
      </c>
      <c r="J29" s="7" t="s">
        <v>55</v>
      </c>
      <c r="K29" s="11" t="s">
        <v>410</v>
      </c>
      <c r="L29" s="14" t="str">
        <f t="shared" si="1"/>
        <v>Não</v>
      </c>
      <c r="M29" s="7"/>
      <c r="N29" s="7"/>
      <c r="O29" s="7" t="s">
        <v>55</v>
      </c>
      <c r="P29" s="7"/>
      <c r="Q29" s="16" t="s">
        <v>55</v>
      </c>
      <c r="R29" s="16" t="s">
        <v>55</v>
      </c>
      <c r="S29" s="16" t="s">
        <v>55</v>
      </c>
      <c r="T29" s="16" t="s">
        <v>55</v>
      </c>
      <c r="U29" s="16" t="s">
        <v>55</v>
      </c>
      <c r="V29" s="16" t="s">
        <v>127</v>
      </c>
      <c r="W29" s="16" t="s">
        <v>411</v>
      </c>
      <c r="X29" s="6"/>
      <c r="Y29" s="6"/>
      <c r="Z29" s="6"/>
    </row>
    <row r="30" ht="15.0" customHeight="1">
      <c r="A30" s="7" t="s">
        <v>412</v>
      </c>
      <c r="B30" s="7" t="s">
        <v>413</v>
      </c>
      <c r="C30" s="7" t="s">
        <v>414</v>
      </c>
      <c r="D30" s="7" t="s">
        <v>46</v>
      </c>
      <c r="E30" s="7" t="s">
        <v>315</v>
      </c>
      <c r="F30" s="7" t="s">
        <v>52</v>
      </c>
      <c r="G30" s="11" t="s">
        <v>55</v>
      </c>
      <c r="H30" s="11" t="s">
        <v>55</v>
      </c>
      <c r="I30" s="11" t="s">
        <v>55</v>
      </c>
      <c r="J30" s="7" t="s">
        <v>55</v>
      </c>
      <c r="K30" s="11" t="s">
        <v>415</v>
      </c>
      <c r="L30" s="14" t="str">
        <f t="shared" si="1"/>
        <v>Não</v>
      </c>
      <c r="M30" s="7"/>
      <c r="N30" s="7"/>
      <c r="O30" s="7" t="s">
        <v>55</v>
      </c>
      <c r="P30" s="7"/>
      <c r="Q30" s="16" t="s">
        <v>55</v>
      </c>
      <c r="R30" s="16" t="s">
        <v>55</v>
      </c>
      <c r="S30" s="16" t="s">
        <v>55</v>
      </c>
      <c r="T30" s="16" t="s">
        <v>55</v>
      </c>
      <c r="U30" s="16" t="s">
        <v>55</v>
      </c>
      <c r="V30" s="16" t="s">
        <v>127</v>
      </c>
      <c r="W30" s="16" t="s">
        <v>416</v>
      </c>
      <c r="X30" s="6"/>
      <c r="Y30" s="6"/>
      <c r="Z30" s="6"/>
    </row>
    <row r="31" ht="15.0" customHeight="1">
      <c r="A31" s="7" t="s">
        <v>417</v>
      </c>
      <c r="B31" s="7" t="s">
        <v>418</v>
      </c>
      <c r="C31" s="7" t="s">
        <v>419</v>
      </c>
      <c r="D31" s="7" t="s">
        <v>46</v>
      </c>
      <c r="E31" s="7" t="s">
        <v>213</v>
      </c>
      <c r="F31" s="7" t="s">
        <v>52</v>
      </c>
      <c r="G31" s="11" t="s">
        <v>55</v>
      </c>
      <c r="H31" s="11" t="s">
        <v>55</v>
      </c>
      <c r="I31" s="11" t="s">
        <v>55</v>
      </c>
      <c r="J31" s="7" t="s">
        <v>55</v>
      </c>
      <c r="K31" s="7"/>
      <c r="L31" s="14" t="str">
        <f t="shared" si="1"/>
        <v>Sim</v>
      </c>
      <c r="M31" s="7"/>
      <c r="N31" s="7"/>
      <c r="O31" s="7" t="s">
        <v>55</v>
      </c>
      <c r="P31" s="7"/>
      <c r="Q31" s="16" t="s">
        <v>55</v>
      </c>
      <c r="R31" s="16" t="s">
        <v>55</v>
      </c>
      <c r="S31" s="16" t="s">
        <v>55</v>
      </c>
      <c r="T31" s="16" t="s">
        <v>55</v>
      </c>
      <c r="U31" s="16" t="s">
        <v>55</v>
      </c>
      <c r="V31" s="16" t="s">
        <v>127</v>
      </c>
      <c r="W31" s="16"/>
      <c r="X31" s="6"/>
      <c r="Y31" s="6"/>
      <c r="Z31" s="6"/>
    </row>
    <row r="32" ht="15.0" customHeight="1">
      <c r="A32" s="7" t="s">
        <v>421</v>
      </c>
      <c r="B32" s="7" t="s">
        <v>422</v>
      </c>
      <c r="C32" s="7" t="s">
        <v>423</v>
      </c>
      <c r="D32" s="7" t="s">
        <v>46</v>
      </c>
      <c r="E32" s="7" t="s">
        <v>85</v>
      </c>
      <c r="F32" s="7" t="s">
        <v>52</v>
      </c>
      <c r="G32" s="11" t="s">
        <v>55</v>
      </c>
      <c r="H32" s="11" t="s">
        <v>55</v>
      </c>
      <c r="I32" s="11" t="s">
        <v>55</v>
      </c>
      <c r="J32" s="7" t="s">
        <v>55</v>
      </c>
      <c r="K32" s="11" t="s">
        <v>425</v>
      </c>
      <c r="L32" s="14" t="str">
        <f t="shared" si="1"/>
        <v>Não</v>
      </c>
      <c r="M32" s="7"/>
      <c r="N32" s="7"/>
      <c r="O32" s="7" t="s">
        <v>55</v>
      </c>
      <c r="P32" s="7"/>
      <c r="Q32" s="16" t="s">
        <v>55</v>
      </c>
      <c r="R32" s="16" t="s">
        <v>55</v>
      </c>
      <c r="S32" s="16" t="s">
        <v>55</v>
      </c>
      <c r="T32" s="16" t="s">
        <v>55</v>
      </c>
      <c r="U32" s="16" t="s">
        <v>55</v>
      </c>
      <c r="V32" s="16" t="s">
        <v>127</v>
      </c>
      <c r="W32" s="16" t="s">
        <v>426</v>
      </c>
      <c r="X32" s="6"/>
      <c r="Y32" s="6"/>
      <c r="Z32" s="6"/>
    </row>
    <row r="33" ht="15.0" customHeight="1">
      <c r="A33" s="7" t="s">
        <v>427</v>
      </c>
      <c r="B33" s="7" t="s">
        <v>428</v>
      </c>
      <c r="C33" s="7" t="s">
        <v>429</v>
      </c>
      <c r="D33" s="7" t="s">
        <v>46</v>
      </c>
      <c r="E33" s="7" t="s">
        <v>138</v>
      </c>
      <c r="F33" s="7" t="s">
        <v>52</v>
      </c>
      <c r="G33" s="11" t="s">
        <v>55</v>
      </c>
      <c r="H33" s="11" t="s">
        <v>55</v>
      </c>
      <c r="I33" s="11" t="s">
        <v>55</v>
      </c>
      <c r="J33" s="7" t="s">
        <v>55</v>
      </c>
      <c r="K33" s="11" t="s">
        <v>430</v>
      </c>
      <c r="L33" s="14" t="str">
        <f t="shared" si="1"/>
        <v>Não</v>
      </c>
      <c r="M33" s="7"/>
      <c r="N33" s="7"/>
      <c r="O33" s="7" t="s">
        <v>55</v>
      </c>
      <c r="P33" s="7"/>
      <c r="Q33" s="16" t="s">
        <v>55</v>
      </c>
      <c r="R33" s="16" t="s">
        <v>55</v>
      </c>
      <c r="S33" s="16" t="s">
        <v>55</v>
      </c>
      <c r="T33" s="16" t="s">
        <v>55</v>
      </c>
      <c r="U33" s="16" t="s">
        <v>55</v>
      </c>
      <c r="V33" s="16" t="s">
        <v>127</v>
      </c>
      <c r="W33" s="16" t="s">
        <v>434</v>
      </c>
      <c r="X33" s="6"/>
      <c r="Y33" s="6"/>
      <c r="Z33" s="6"/>
    </row>
    <row r="34" ht="15.0" customHeight="1">
      <c r="A34" s="7" t="s">
        <v>436</v>
      </c>
      <c r="B34" s="7" t="s">
        <v>438</v>
      </c>
      <c r="C34" s="7" t="s">
        <v>439</v>
      </c>
      <c r="D34" s="7" t="s">
        <v>46</v>
      </c>
      <c r="E34" s="7" t="s">
        <v>80</v>
      </c>
      <c r="F34" s="7" t="s">
        <v>52</v>
      </c>
      <c r="G34" s="11" t="s">
        <v>55</v>
      </c>
      <c r="H34" s="11" t="s">
        <v>55</v>
      </c>
      <c r="I34" s="11" t="s">
        <v>55</v>
      </c>
      <c r="J34" s="7" t="s">
        <v>55</v>
      </c>
      <c r="K34" s="7"/>
      <c r="L34" s="14" t="str">
        <f t="shared" si="1"/>
        <v>Sim</v>
      </c>
      <c r="M34" s="7"/>
      <c r="N34" s="7"/>
      <c r="O34" s="7" t="s">
        <v>55</v>
      </c>
      <c r="P34" s="7"/>
      <c r="Q34" s="16" t="s">
        <v>55</v>
      </c>
      <c r="R34" s="16" t="s">
        <v>55</v>
      </c>
      <c r="S34" s="16" t="s">
        <v>55</v>
      </c>
      <c r="T34" s="16" t="s">
        <v>55</v>
      </c>
      <c r="U34" s="16" t="s">
        <v>55</v>
      </c>
      <c r="V34" s="16" t="s">
        <v>127</v>
      </c>
      <c r="W34" s="16"/>
      <c r="X34" s="6"/>
      <c r="Y34" s="6"/>
      <c r="Z34" s="6"/>
    </row>
    <row r="35" ht="15.0" customHeight="1">
      <c r="A35" s="7" t="s">
        <v>440</v>
      </c>
      <c r="B35" s="7" t="s">
        <v>441</v>
      </c>
      <c r="C35" s="7" t="s">
        <v>442</v>
      </c>
      <c r="D35" s="7" t="s">
        <v>46</v>
      </c>
      <c r="E35" s="7" t="s">
        <v>243</v>
      </c>
      <c r="F35" s="7" t="s">
        <v>52</v>
      </c>
      <c r="G35" s="11" t="s">
        <v>55</v>
      </c>
      <c r="H35" s="11" t="s">
        <v>55</v>
      </c>
      <c r="I35" s="11" t="s">
        <v>55</v>
      </c>
      <c r="J35" s="7" t="s">
        <v>55</v>
      </c>
      <c r="K35" s="11" t="s">
        <v>444</v>
      </c>
      <c r="L35" s="14" t="str">
        <f t="shared" si="1"/>
        <v>Não</v>
      </c>
      <c r="M35" s="7"/>
      <c r="N35" s="7"/>
      <c r="O35" s="7" t="s">
        <v>55</v>
      </c>
      <c r="P35" s="7"/>
      <c r="Q35" s="16" t="s">
        <v>55</v>
      </c>
      <c r="R35" s="16" t="s">
        <v>55</v>
      </c>
      <c r="S35" s="16" t="s">
        <v>55</v>
      </c>
      <c r="T35" s="16" t="s">
        <v>55</v>
      </c>
      <c r="U35" s="16" t="s">
        <v>55</v>
      </c>
      <c r="V35" s="16" t="s">
        <v>127</v>
      </c>
      <c r="W35" s="16" t="s">
        <v>445</v>
      </c>
      <c r="X35" s="6"/>
      <c r="Y35" s="6"/>
      <c r="Z35" s="6"/>
    </row>
    <row r="36" ht="15.0" customHeight="1">
      <c r="A36" s="7" t="s">
        <v>446</v>
      </c>
      <c r="B36" s="7" t="s">
        <v>447</v>
      </c>
      <c r="C36" s="7" t="s">
        <v>448</v>
      </c>
      <c r="D36" s="7" t="s">
        <v>46</v>
      </c>
      <c r="E36" s="7" t="s">
        <v>180</v>
      </c>
      <c r="F36" s="7" t="s">
        <v>52</v>
      </c>
      <c r="G36" s="11" t="s">
        <v>55</v>
      </c>
      <c r="H36" s="11" t="s">
        <v>55</v>
      </c>
      <c r="I36" s="11" t="s">
        <v>55</v>
      </c>
      <c r="J36" s="7" t="s">
        <v>55</v>
      </c>
      <c r="K36" s="7"/>
      <c r="L36" s="14" t="str">
        <f t="shared" si="1"/>
        <v>Sim</v>
      </c>
      <c r="M36" s="7"/>
      <c r="N36" s="7"/>
      <c r="O36" s="7" t="s">
        <v>55</v>
      </c>
      <c r="P36" s="7"/>
      <c r="Q36" s="16" t="s">
        <v>55</v>
      </c>
      <c r="R36" s="16" t="s">
        <v>55</v>
      </c>
      <c r="S36" s="16" t="s">
        <v>55</v>
      </c>
      <c r="T36" s="16" t="s">
        <v>55</v>
      </c>
      <c r="U36" s="16" t="s">
        <v>55</v>
      </c>
      <c r="V36" s="16" t="s">
        <v>127</v>
      </c>
      <c r="W36" s="16"/>
      <c r="X36" s="6"/>
      <c r="Y36" s="6"/>
      <c r="Z36" s="6"/>
    </row>
    <row r="37" ht="15.0" customHeight="1">
      <c r="A37" s="7" t="s">
        <v>451</v>
      </c>
      <c r="B37" s="7" t="s">
        <v>452</v>
      </c>
      <c r="C37" s="7" t="s">
        <v>453</v>
      </c>
      <c r="D37" s="7" t="s">
        <v>46</v>
      </c>
      <c r="E37" s="7" t="s">
        <v>48</v>
      </c>
      <c r="F37" s="7" t="s">
        <v>52</v>
      </c>
      <c r="G37" s="11" t="s">
        <v>55</v>
      </c>
      <c r="H37" s="11" t="s">
        <v>55</v>
      </c>
      <c r="I37" s="11" t="s">
        <v>55</v>
      </c>
      <c r="J37" s="7" t="s">
        <v>55</v>
      </c>
      <c r="K37" s="7"/>
      <c r="L37" s="14" t="str">
        <f t="shared" si="1"/>
        <v>Sim</v>
      </c>
      <c r="M37" s="7"/>
      <c r="N37" s="7"/>
      <c r="O37" s="7" t="s">
        <v>55</v>
      </c>
      <c r="P37" s="7"/>
      <c r="Q37" s="16" t="s">
        <v>55</v>
      </c>
      <c r="R37" s="16" t="s">
        <v>55</v>
      </c>
      <c r="S37" s="16" t="s">
        <v>55</v>
      </c>
      <c r="T37" s="16" t="s">
        <v>55</v>
      </c>
      <c r="U37" s="16" t="s">
        <v>55</v>
      </c>
      <c r="V37" s="16" t="s">
        <v>127</v>
      </c>
      <c r="W37" s="16"/>
      <c r="X37" s="6"/>
      <c r="Y37" s="6"/>
      <c r="Z37" s="6"/>
    </row>
    <row r="38" ht="15.0" customHeight="1">
      <c r="A38" s="7" t="s">
        <v>454</v>
      </c>
      <c r="B38" s="7" t="s">
        <v>455</v>
      </c>
      <c r="C38" s="7" t="s">
        <v>456</v>
      </c>
      <c r="D38" s="7" t="s">
        <v>46</v>
      </c>
      <c r="E38" s="7" t="s">
        <v>220</v>
      </c>
      <c r="F38" s="7" t="s">
        <v>52</v>
      </c>
      <c r="G38" s="11" t="s">
        <v>55</v>
      </c>
      <c r="H38" s="11" t="s">
        <v>55</v>
      </c>
      <c r="I38" s="11" t="s">
        <v>55</v>
      </c>
      <c r="J38" s="7" t="s">
        <v>55</v>
      </c>
      <c r="K38" s="7"/>
      <c r="L38" s="14" t="str">
        <f t="shared" si="1"/>
        <v>Sim</v>
      </c>
      <c r="M38" s="7"/>
      <c r="N38" s="7"/>
      <c r="O38" s="7" t="s">
        <v>55</v>
      </c>
      <c r="P38" s="7"/>
      <c r="Q38" s="16" t="s">
        <v>55</v>
      </c>
      <c r="R38" s="16" t="s">
        <v>55</v>
      </c>
      <c r="S38" s="16" t="s">
        <v>55</v>
      </c>
      <c r="T38" s="16" t="s">
        <v>55</v>
      </c>
      <c r="U38" s="16" t="s">
        <v>55</v>
      </c>
      <c r="V38" s="16" t="s">
        <v>127</v>
      </c>
      <c r="W38" s="16"/>
      <c r="X38" s="6"/>
      <c r="Y38" s="6"/>
      <c r="Z38" s="6"/>
    </row>
    <row r="39" ht="15.0" customHeight="1">
      <c r="A39" s="7" t="s">
        <v>457</v>
      </c>
      <c r="B39" s="7" t="s">
        <v>458</v>
      </c>
      <c r="C39" s="7" t="s">
        <v>459</v>
      </c>
      <c r="D39" s="7" t="s">
        <v>46</v>
      </c>
      <c r="E39" s="7" t="s">
        <v>291</v>
      </c>
      <c r="F39" s="7" t="s">
        <v>52</v>
      </c>
      <c r="G39" s="11" t="s">
        <v>55</v>
      </c>
      <c r="H39" s="11" t="s">
        <v>57</v>
      </c>
      <c r="I39" s="11" t="s">
        <v>55</v>
      </c>
      <c r="J39" s="7" t="s">
        <v>55</v>
      </c>
      <c r="K39" s="7"/>
      <c r="L39" s="14" t="str">
        <f t="shared" si="1"/>
        <v>Não</v>
      </c>
      <c r="M39" s="7"/>
      <c r="N39" s="7"/>
      <c r="O39" s="7" t="s">
        <v>55</v>
      </c>
      <c r="P39" s="7"/>
      <c r="Q39" s="16" t="s">
        <v>55</v>
      </c>
      <c r="R39" s="16" t="s">
        <v>55</v>
      </c>
      <c r="S39" s="16" t="s">
        <v>55</v>
      </c>
      <c r="T39" s="16" t="s">
        <v>55</v>
      </c>
      <c r="U39" s="16" t="s">
        <v>55</v>
      </c>
      <c r="V39" s="16" t="s">
        <v>127</v>
      </c>
      <c r="W39" s="16"/>
      <c r="X39" s="6"/>
      <c r="Y39" s="6"/>
      <c r="Z39" s="6"/>
    </row>
    <row r="40" ht="15.0" customHeight="1">
      <c r="A40" s="7" t="s">
        <v>460</v>
      </c>
      <c r="B40" s="7" t="s">
        <v>461</v>
      </c>
      <c r="C40" s="7" t="s">
        <v>462</v>
      </c>
      <c r="D40" s="7" t="s">
        <v>46</v>
      </c>
      <c r="E40" s="7" t="s">
        <v>315</v>
      </c>
      <c r="F40" s="7" t="s">
        <v>52</v>
      </c>
      <c r="G40" s="11" t="s">
        <v>55</v>
      </c>
      <c r="H40" s="11" t="s">
        <v>55</v>
      </c>
      <c r="I40" s="11" t="s">
        <v>55</v>
      </c>
      <c r="J40" s="7" t="s">
        <v>55</v>
      </c>
      <c r="K40" s="11" t="s">
        <v>463</v>
      </c>
      <c r="L40" s="14" t="str">
        <f t="shared" si="1"/>
        <v>Não</v>
      </c>
      <c r="M40" s="7"/>
      <c r="N40" s="7"/>
      <c r="O40" s="7" t="s">
        <v>55</v>
      </c>
      <c r="P40" s="7"/>
      <c r="Q40" s="16" t="s">
        <v>55</v>
      </c>
      <c r="R40" s="16" t="s">
        <v>55</v>
      </c>
      <c r="S40" s="16" t="s">
        <v>55</v>
      </c>
      <c r="T40" s="16" t="s">
        <v>55</v>
      </c>
      <c r="U40" s="16" t="s">
        <v>55</v>
      </c>
      <c r="V40" s="16" t="s">
        <v>127</v>
      </c>
      <c r="W40" s="16" t="s">
        <v>464</v>
      </c>
      <c r="X40" s="6"/>
      <c r="Y40" s="6"/>
      <c r="Z40" s="6"/>
    </row>
    <row r="41" ht="15.0" customHeight="1">
      <c r="A41" s="7" t="s">
        <v>465</v>
      </c>
      <c r="B41" s="7" t="s">
        <v>466</v>
      </c>
      <c r="C41" s="7" t="s">
        <v>467</v>
      </c>
      <c r="D41" s="7" t="s">
        <v>46</v>
      </c>
      <c r="E41" s="7" t="s">
        <v>107</v>
      </c>
      <c r="F41" s="7" t="s">
        <v>52</v>
      </c>
      <c r="G41" s="11" t="s">
        <v>55</v>
      </c>
      <c r="H41" s="11" t="s">
        <v>55</v>
      </c>
      <c r="I41" s="11" t="s">
        <v>55</v>
      </c>
      <c r="J41" s="7" t="s">
        <v>55</v>
      </c>
      <c r="K41" s="11" t="s">
        <v>468</v>
      </c>
      <c r="L41" s="14" t="str">
        <f t="shared" si="1"/>
        <v>Não</v>
      </c>
      <c r="M41" s="7"/>
      <c r="N41" s="7"/>
      <c r="O41" s="7" t="s">
        <v>55</v>
      </c>
      <c r="P41" s="7"/>
      <c r="Q41" s="16" t="s">
        <v>55</v>
      </c>
      <c r="R41" s="16" t="s">
        <v>55</v>
      </c>
      <c r="S41" s="16" t="s">
        <v>55</v>
      </c>
      <c r="T41" s="16" t="s">
        <v>55</v>
      </c>
      <c r="U41" s="16" t="s">
        <v>55</v>
      </c>
      <c r="V41" s="16" t="s">
        <v>127</v>
      </c>
      <c r="W41" s="16" t="s">
        <v>469</v>
      </c>
      <c r="X41" s="6"/>
      <c r="Y41" s="6"/>
      <c r="Z41" s="6"/>
    </row>
    <row r="42" ht="15.0" customHeight="1">
      <c r="A42" s="7" t="s">
        <v>470</v>
      </c>
      <c r="B42" s="7" t="s">
        <v>471</v>
      </c>
      <c r="C42" s="7" t="s">
        <v>472</v>
      </c>
      <c r="D42" s="7" t="s">
        <v>46</v>
      </c>
      <c r="E42" s="7" t="s">
        <v>180</v>
      </c>
      <c r="F42" s="7" t="s">
        <v>52</v>
      </c>
      <c r="G42" s="11" t="s">
        <v>55</v>
      </c>
      <c r="H42" s="11" t="s">
        <v>55</v>
      </c>
      <c r="I42" s="11" t="s">
        <v>55</v>
      </c>
      <c r="J42" s="7" t="s">
        <v>55</v>
      </c>
      <c r="K42" s="7"/>
      <c r="L42" s="14" t="str">
        <f t="shared" si="1"/>
        <v>Sim</v>
      </c>
      <c r="M42" s="7"/>
      <c r="N42" s="7"/>
      <c r="O42" s="7" t="s">
        <v>55</v>
      </c>
      <c r="P42" s="7"/>
      <c r="Q42" s="16" t="s">
        <v>55</v>
      </c>
      <c r="R42" s="16" t="s">
        <v>55</v>
      </c>
      <c r="S42" s="16" t="s">
        <v>55</v>
      </c>
      <c r="T42" s="16" t="s">
        <v>55</v>
      </c>
      <c r="U42" s="16" t="s">
        <v>55</v>
      </c>
      <c r="V42" s="16" t="s">
        <v>127</v>
      </c>
      <c r="W42" s="16"/>
      <c r="X42" s="6"/>
      <c r="Y42" s="6"/>
      <c r="Z42" s="6"/>
    </row>
    <row r="43" ht="15.0" customHeight="1">
      <c r="A43" s="7" t="s">
        <v>473</v>
      </c>
      <c r="B43" s="7" t="s">
        <v>474</v>
      </c>
      <c r="C43" s="7" t="s">
        <v>475</v>
      </c>
      <c r="D43" s="7" t="s">
        <v>46</v>
      </c>
      <c r="E43" s="7" t="s">
        <v>259</v>
      </c>
      <c r="F43" s="7" t="s">
        <v>52</v>
      </c>
      <c r="G43" s="11" t="s">
        <v>55</v>
      </c>
      <c r="H43" s="11" t="s">
        <v>55</v>
      </c>
      <c r="I43" s="11" t="s">
        <v>55</v>
      </c>
      <c r="J43" s="7" t="s">
        <v>55</v>
      </c>
      <c r="K43" s="7"/>
      <c r="L43" s="14" t="str">
        <f t="shared" si="1"/>
        <v>Sim</v>
      </c>
      <c r="M43" s="7"/>
      <c r="N43" s="7"/>
      <c r="O43" s="7" t="s">
        <v>55</v>
      </c>
      <c r="P43" s="7"/>
      <c r="Q43" s="16" t="s">
        <v>55</v>
      </c>
      <c r="R43" s="16" t="s">
        <v>55</v>
      </c>
      <c r="S43" s="16" t="s">
        <v>55</v>
      </c>
      <c r="T43" s="16" t="s">
        <v>55</v>
      </c>
      <c r="U43" s="16" t="s">
        <v>55</v>
      </c>
      <c r="V43" s="16" t="s">
        <v>127</v>
      </c>
      <c r="W43" s="16"/>
      <c r="X43" s="6"/>
      <c r="Y43" s="6"/>
      <c r="Z43" s="6"/>
    </row>
    <row r="44" ht="15.0" customHeight="1">
      <c r="A44" s="7" t="s">
        <v>476</v>
      </c>
      <c r="B44" s="7" t="s">
        <v>477</v>
      </c>
      <c r="C44" s="7" t="s">
        <v>478</v>
      </c>
      <c r="D44" s="7" t="s">
        <v>46</v>
      </c>
      <c r="E44" s="7" t="s">
        <v>107</v>
      </c>
      <c r="F44" s="7" t="s">
        <v>52</v>
      </c>
      <c r="G44" s="11" t="s">
        <v>55</v>
      </c>
      <c r="H44" s="11" t="s">
        <v>55</v>
      </c>
      <c r="I44" s="11" t="s">
        <v>55</v>
      </c>
      <c r="J44" s="7" t="s">
        <v>55</v>
      </c>
      <c r="K44" s="7"/>
      <c r="L44" s="14" t="str">
        <f t="shared" si="1"/>
        <v>Sim</v>
      </c>
      <c r="M44" s="7"/>
      <c r="N44" s="7"/>
      <c r="O44" s="7" t="s">
        <v>55</v>
      </c>
      <c r="P44" s="7"/>
      <c r="Q44" s="16" t="s">
        <v>55</v>
      </c>
      <c r="R44" s="16" t="s">
        <v>55</v>
      </c>
      <c r="S44" s="16" t="s">
        <v>55</v>
      </c>
      <c r="T44" s="16" t="s">
        <v>55</v>
      </c>
      <c r="U44" s="16" t="s">
        <v>55</v>
      </c>
      <c r="V44" s="16" t="s">
        <v>127</v>
      </c>
      <c r="W44" s="16"/>
      <c r="X44" s="6"/>
      <c r="Y44" s="6"/>
      <c r="Z44" s="6"/>
    </row>
    <row r="45" ht="15.0" customHeight="1">
      <c r="A45" s="7" t="s">
        <v>479</v>
      </c>
      <c r="B45" s="7" t="s">
        <v>480</v>
      </c>
      <c r="C45" s="7" t="s">
        <v>481</v>
      </c>
      <c r="D45" s="7" t="s">
        <v>46</v>
      </c>
      <c r="E45" s="7" t="s">
        <v>85</v>
      </c>
      <c r="F45" s="7" t="s">
        <v>52</v>
      </c>
      <c r="G45" s="11" t="s">
        <v>55</v>
      </c>
      <c r="H45" s="11" t="s">
        <v>55</v>
      </c>
      <c r="I45" s="11" t="s">
        <v>55</v>
      </c>
      <c r="J45" s="7" t="s">
        <v>55</v>
      </c>
      <c r="K45" s="7"/>
      <c r="L45" s="14" t="str">
        <f t="shared" si="1"/>
        <v>Sim</v>
      </c>
      <c r="M45" s="7"/>
      <c r="N45" s="7"/>
      <c r="O45" s="7" t="s">
        <v>55</v>
      </c>
      <c r="P45" s="7"/>
      <c r="Q45" s="16" t="s">
        <v>55</v>
      </c>
      <c r="R45" s="16" t="s">
        <v>55</v>
      </c>
      <c r="S45" s="16" t="s">
        <v>55</v>
      </c>
      <c r="T45" s="16" t="s">
        <v>55</v>
      </c>
      <c r="U45" s="16" t="s">
        <v>55</v>
      </c>
      <c r="V45" s="16" t="s">
        <v>127</v>
      </c>
      <c r="W45" s="16"/>
      <c r="X45" s="6"/>
      <c r="Y45" s="6"/>
      <c r="Z45" s="6"/>
    </row>
    <row r="46" ht="15.0" customHeight="1">
      <c r="A46" s="7" t="s">
        <v>482</v>
      </c>
      <c r="B46" s="7" t="s">
        <v>483</v>
      </c>
      <c r="C46" s="7" t="s">
        <v>484</v>
      </c>
      <c r="D46" s="7" t="s">
        <v>46</v>
      </c>
      <c r="E46" s="7" t="s">
        <v>138</v>
      </c>
      <c r="F46" s="7" t="s">
        <v>52</v>
      </c>
      <c r="G46" s="11" t="s">
        <v>55</v>
      </c>
      <c r="H46" s="11" t="s">
        <v>55</v>
      </c>
      <c r="I46" s="11" t="s">
        <v>55</v>
      </c>
      <c r="J46" s="7" t="s">
        <v>55</v>
      </c>
      <c r="K46" s="7"/>
      <c r="L46" s="14" t="str">
        <f t="shared" si="1"/>
        <v>Sim</v>
      </c>
      <c r="M46" s="7"/>
      <c r="N46" s="7"/>
      <c r="O46" s="7" t="s">
        <v>55</v>
      </c>
      <c r="P46" s="7"/>
      <c r="Q46" s="16" t="s">
        <v>55</v>
      </c>
      <c r="R46" s="16" t="s">
        <v>55</v>
      </c>
      <c r="S46" s="16" t="s">
        <v>55</v>
      </c>
      <c r="T46" s="16" t="s">
        <v>55</v>
      </c>
      <c r="U46" s="16" t="s">
        <v>55</v>
      </c>
      <c r="V46" s="16" t="s">
        <v>127</v>
      </c>
      <c r="W46" s="16"/>
      <c r="X46" s="6"/>
      <c r="Y46" s="6"/>
      <c r="Z46" s="6"/>
    </row>
    <row r="47" ht="15.0" customHeight="1">
      <c r="A47" s="7" t="s">
        <v>485</v>
      </c>
      <c r="B47" s="7" t="s">
        <v>486</v>
      </c>
      <c r="C47" s="7" t="s">
        <v>487</v>
      </c>
      <c r="D47" s="7" t="s">
        <v>46</v>
      </c>
      <c r="E47" s="7" t="s">
        <v>243</v>
      </c>
      <c r="F47" s="7" t="s">
        <v>52</v>
      </c>
      <c r="G47" s="11" t="s">
        <v>55</v>
      </c>
      <c r="H47" s="11" t="s">
        <v>55</v>
      </c>
      <c r="I47" s="11" t="s">
        <v>55</v>
      </c>
      <c r="J47" s="7" t="s">
        <v>55</v>
      </c>
      <c r="K47" s="7"/>
      <c r="L47" s="14" t="str">
        <f t="shared" si="1"/>
        <v>Sim</v>
      </c>
      <c r="M47" s="11" t="s">
        <v>87</v>
      </c>
      <c r="N47" s="7"/>
      <c r="O47" s="7" t="s">
        <v>55</v>
      </c>
      <c r="P47" s="7"/>
      <c r="Q47" s="16" t="s">
        <v>55</v>
      </c>
      <c r="R47" s="16" t="s">
        <v>55</v>
      </c>
      <c r="S47" s="16" t="s">
        <v>55</v>
      </c>
      <c r="T47" s="16" t="s">
        <v>55</v>
      </c>
      <c r="U47" s="16" t="s">
        <v>55</v>
      </c>
      <c r="V47" s="16" t="s">
        <v>127</v>
      </c>
      <c r="W47" s="16"/>
      <c r="X47" s="6"/>
      <c r="Y47" s="6"/>
      <c r="Z47" s="6"/>
    </row>
    <row r="48" ht="15.0" customHeight="1">
      <c r="A48" s="7" t="s">
        <v>488</v>
      </c>
      <c r="B48" s="7" t="s">
        <v>489</v>
      </c>
      <c r="C48" s="7" t="s">
        <v>490</v>
      </c>
      <c r="D48" s="7" t="s">
        <v>46</v>
      </c>
      <c r="E48" s="7" t="s">
        <v>48</v>
      </c>
      <c r="F48" s="7" t="s">
        <v>52</v>
      </c>
      <c r="G48" s="11" t="s">
        <v>55</v>
      </c>
      <c r="H48" s="11" t="s">
        <v>55</v>
      </c>
      <c r="I48" s="11" t="s">
        <v>55</v>
      </c>
      <c r="J48" s="7" t="s">
        <v>55</v>
      </c>
      <c r="K48" s="7"/>
      <c r="L48" s="14" t="str">
        <f t="shared" si="1"/>
        <v>Sim</v>
      </c>
      <c r="M48" s="7"/>
      <c r="N48" s="7"/>
      <c r="O48" s="7" t="s">
        <v>55</v>
      </c>
      <c r="P48" s="7"/>
      <c r="Q48" s="16" t="s">
        <v>55</v>
      </c>
      <c r="R48" s="16" t="s">
        <v>55</v>
      </c>
      <c r="S48" s="16" t="s">
        <v>55</v>
      </c>
      <c r="T48" s="16" t="s">
        <v>55</v>
      </c>
      <c r="U48" s="16" t="s">
        <v>55</v>
      </c>
      <c r="V48" s="16" t="s">
        <v>127</v>
      </c>
      <c r="W48" s="16"/>
      <c r="X48" s="6"/>
      <c r="Y48" s="6"/>
      <c r="Z48" s="6"/>
    </row>
    <row r="49" ht="15.0" customHeight="1">
      <c r="A49" s="7" t="s">
        <v>494</v>
      </c>
      <c r="B49" s="7" t="s">
        <v>495</v>
      </c>
      <c r="C49" s="7" t="s">
        <v>496</v>
      </c>
      <c r="D49" s="7" t="s">
        <v>46</v>
      </c>
      <c r="E49" s="7" t="s">
        <v>85</v>
      </c>
      <c r="F49" s="7" t="s">
        <v>52</v>
      </c>
      <c r="G49" s="11" t="s">
        <v>55</v>
      </c>
      <c r="H49" s="11" t="s">
        <v>55</v>
      </c>
      <c r="I49" s="11" t="s">
        <v>55</v>
      </c>
      <c r="J49" s="7" t="s">
        <v>55</v>
      </c>
      <c r="K49" s="11" t="s">
        <v>497</v>
      </c>
      <c r="L49" s="14" t="str">
        <f t="shared" si="1"/>
        <v>Não</v>
      </c>
      <c r="M49" s="7"/>
      <c r="N49" s="7"/>
      <c r="O49" s="7" t="s">
        <v>55</v>
      </c>
      <c r="P49" s="7"/>
      <c r="Q49" s="16" t="s">
        <v>55</v>
      </c>
      <c r="R49" s="16" t="s">
        <v>55</v>
      </c>
      <c r="S49" s="16" t="s">
        <v>55</v>
      </c>
      <c r="T49" s="16" t="s">
        <v>55</v>
      </c>
      <c r="U49" s="16" t="s">
        <v>55</v>
      </c>
      <c r="V49" s="16" t="s">
        <v>127</v>
      </c>
      <c r="W49" s="16" t="s">
        <v>498</v>
      </c>
      <c r="X49" s="6"/>
      <c r="Y49" s="6"/>
      <c r="Z49" s="6"/>
    </row>
    <row r="50" ht="29.25" customHeight="1">
      <c r="A50" s="7" t="s">
        <v>499</v>
      </c>
      <c r="B50" s="7" t="s">
        <v>500</v>
      </c>
      <c r="C50" s="7" t="s">
        <v>502</v>
      </c>
      <c r="D50" s="7" t="s">
        <v>46</v>
      </c>
      <c r="E50" s="7" t="s">
        <v>243</v>
      </c>
      <c r="F50" s="7" t="s">
        <v>52</v>
      </c>
      <c r="G50" s="11" t="s">
        <v>55</v>
      </c>
      <c r="H50" s="11" t="s">
        <v>55</v>
      </c>
      <c r="I50" s="11" t="s">
        <v>55</v>
      </c>
      <c r="J50" s="7" t="s">
        <v>55</v>
      </c>
      <c r="K50" s="11" t="s">
        <v>504</v>
      </c>
      <c r="L50" s="14" t="str">
        <f t="shared" si="1"/>
        <v>Não</v>
      </c>
      <c r="M50" s="7"/>
      <c r="N50" s="7"/>
      <c r="O50" s="7" t="s">
        <v>55</v>
      </c>
      <c r="P50" s="7"/>
      <c r="Q50" s="16" t="s">
        <v>55</v>
      </c>
      <c r="R50" s="16" t="s">
        <v>55</v>
      </c>
      <c r="S50" s="16" t="s">
        <v>55</v>
      </c>
      <c r="T50" s="16" t="s">
        <v>55</v>
      </c>
      <c r="U50" s="16" t="s">
        <v>55</v>
      </c>
      <c r="V50" s="16" t="s">
        <v>127</v>
      </c>
      <c r="W50" s="16" t="s">
        <v>507</v>
      </c>
      <c r="X50" s="6"/>
      <c r="Y50" s="6"/>
      <c r="Z50" s="6"/>
    </row>
    <row r="51" ht="30.75" customHeight="1">
      <c r="A51" s="7" t="s">
        <v>508</v>
      </c>
      <c r="B51" s="7" t="s">
        <v>509</v>
      </c>
      <c r="C51" s="7" t="s">
        <v>510</v>
      </c>
      <c r="D51" s="7" t="s">
        <v>46</v>
      </c>
      <c r="E51" s="7" t="s">
        <v>48</v>
      </c>
      <c r="F51" s="7" t="s">
        <v>52</v>
      </c>
      <c r="G51" s="11" t="s">
        <v>55</v>
      </c>
      <c r="H51" s="11" t="s">
        <v>55</v>
      </c>
      <c r="I51" s="11" t="s">
        <v>55</v>
      </c>
      <c r="J51" s="7" t="s">
        <v>55</v>
      </c>
      <c r="K51" s="11" t="s">
        <v>511</v>
      </c>
      <c r="L51" s="14" t="str">
        <f t="shared" si="1"/>
        <v>Não</v>
      </c>
      <c r="M51" s="7"/>
      <c r="N51" s="7"/>
      <c r="O51" s="7" t="s">
        <v>55</v>
      </c>
      <c r="P51" s="7"/>
      <c r="Q51" s="16" t="s">
        <v>55</v>
      </c>
      <c r="R51" s="16" t="s">
        <v>55</v>
      </c>
      <c r="S51" s="16" t="s">
        <v>55</v>
      </c>
      <c r="T51" s="16" t="s">
        <v>55</v>
      </c>
      <c r="U51" s="16" t="s">
        <v>55</v>
      </c>
      <c r="V51" s="16" t="s">
        <v>127</v>
      </c>
      <c r="W51" s="16" t="s">
        <v>512</v>
      </c>
      <c r="X51" s="6"/>
      <c r="Y51" s="6"/>
      <c r="Z51" s="6"/>
    </row>
    <row r="52" ht="15.0" customHeight="1">
      <c r="A52" s="7" t="s">
        <v>513</v>
      </c>
      <c r="B52" s="7" t="s">
        <v>514</v>
      </c>
      <c r="C52" s="7" t="s">
        <v>515</v>
      </c>
      <c r="D52" s="7" t="s">
        <v>46</v>
      </c>
      <c r="E52" s="7" t="s">
        <v>291</v>
      </c>
      <c r="F52" s="7" t="s">
        <v>52</v>
      </c>
      <c r="G52" s="11" t="s">
        <v>55</v>
      </c>
      <c r="H52" s="11" t="s">
        <v>55</v>
      </c>
      <c r="I52" s="11" t="s">
        <v>55</v>
      </c>
      <c r="J52" s="7" t="s">
        <v>55</v>
      </c>
      <c r="K52" s="11" t="s">
        <v>497</v>
      </c>
      <c r="L52" s="14" t="str">
        <f t="shared" si="1"/>
        <v>Não</v>
      </c>
      <c r="M52" s="7"/>
      <c r="N52" s="7"/>
      <c r="O52" s="7" t="s">
        <v>55</v>
      </c>
      <c r="P52" s="7"/>
      <c r="Q52" s="16" t="s">
        <v>55</v>
      </c>
      <c r="R52" s="16" t="s">
        <v>55</v>
      </c>
      <c r="S52" s="16" t="s">
        <v>55</v>
      </c>
      <c r="T52" s="16" t="s">
        <v>55</v>
      </c>
      <c r="U52" s="16" t="s">
        <v>55</v>
      </c>
      <c r="V52" s="16" t="s">
        <v>127</v>
      </c>
      <c r="W52" s="16" t="s">
        <v>516</v>
      </c>
      <c r="X52" s="6"/>
      <c r="Y52" s="6"/>
      <c r="Z52" s="6"/>
    </row>
    <row r="53" ht="27.75" customHeight="1">
      <c r="A53" s="7" t="s">
        <v>517</v>
      </c>
      <c r="B53" s="7" t="s">
        <v>518</v>
      </c>
      <c r="C53" s="7" t="s">
        <v>519</v>
      </c>
      <c r="D53" s="7" t="s">
        <v>46</v>
      </c>
      <c r="E53" s="7" t="s">
        <v>267</v>
      </c>
      <c r="F53" s="7" t="s">
        <v>52</v>
      </c>
      <c r="G53" s="11" t="s">
        <v>55</v>
      </c>
      <c r="H53" s="11" t="s">
        <v>55</v>
      </c>
      <c r="I53" s="11" t="s">
        <v>55</v>
      </c>
      <c r="J53" s="7" t="s">
        <v>55</v>
      </c>
      <c r="K53" s="11" t="s">
        <v>520</v>
      </c>
      <c r="L53" s="14" t="str">
        <f t="shared" si="1"/>
        <v>Não</v>
      </c>
      <c r="M53" s="7"/>
      <c r="N53" s="7"/>
      <c r="O53" s="7" t="s">
        <v>55</v>
      </c>
      <c r="P53" s="7"/>
      <c r="Q53" s="16" t="s">
        <v>55</v>
      </c>
      <c r="R53" s="16" t="s">
        <v>55</v>
      </c>
      <c r="S53" s="16" t="s">
        <v>55</v>
      </c>
      <c r="T53" s="16" t="s">
        <v>55</v>
      </c>
      <c r="U53" s="16" t="s">
        <v>55</v>
      </c>
      <c r="V53" s="16" t="s">
        <v>127</v>
      </c>
      <c r="W53" s="16" t="s">
        <v>522</v>
      </c>
      <c r="X53" s="6"/>
      <c r="Y53" s="6"/>
      <c r="Z53" s="6"/>
    </row>
    <row r="54" ht="15.0" customHeight="1">
      <c r="A54" s="7" t="s">
        <v>523</v>
      </c>
      <c r="B54" s="7" t="s">
        <v>524</v>
      </c>
      <c r="C54" s="7" t="s">
        <v>525</v>
      </c>
      <c r="D54" s="7" t="s">
        <v>46</v>
      </c>
      <c r="E54" s="7" t="s">
        <v>259</v>
      </c>
      <c r="F54" s="7" t="s">
        <v>52</v>
      </c>
      <c r="G54" s="11" t="s">
        <v>55</v>
      </c>
      <c r="H54" s="11" t="s">
        <v>55</v>
      </c>
      <c r="I54" s="11" t="s">
        <v>55</v>
      </c>
      <c r="J54" s="7" t="s">
        <v>55</v>
      </c>
      <c r="K54" s="11" t="s">
        <v>526</v>
      </c>
      <c r="L54" s="14" t="str">
        <f t="shared" si="1"/>
        <v>Não</v>
      </c>
      <c r="M54" s="7"/>
      <c r="N54" s="7"/>
      <c r="O54" s="7" t="s">
        <v>55</v>
      </c>
      <c r="P54" s="7"/>
      <c r="Q54" s="16" t="s">
        <v>55</v>
      </c>
      <c r="R54" s="16" t="s">
        <v>55</v>
      </c>
      <c r="S54" s="16" t="s">
        <v>55</v>
      </c>
      <c r="T54" s="16" t="s">
        <v>55</v>
      </c>
      <c r="U54" s="16" t="s">
        <v>55</v>
      </c>
      <c r="V54" s="16" t="s">
        <v>127</v>
      </c>
      <c r="W54" s="16" t="s">
        <v>527</v>
      </c>
      <c r="X54" s="6"/>
      <c r="Y54" s="6"/>
      <c r="Z54" s="6"/>
    </row>
    <row r="55" ht="15.0" customHeight="1">
      <c r="A55" s="7" t="s">
        <v>528</v>
      </c>
      <c r="B55" s="7" t="s">
        <v>529</v>
      </c>
      <c r="C55" s="7" t="s">
        <v>530</v>
      </c>
      <c r="D55" s="7" t="s">
        <v>46</v>
      </c>
      <c r="E55" s="7" t="s">
        <v>107</v>
      </c>
      <c r="F55" s="7" t="s">
        <v>52</v>
      </c>
      <c r="G55" s="11" t="s">
        <v>55</v>
      </c>
      <c r="H55" s="11" t="s">
        <v>55</v>
      </c>
      <c r="I55" s="11" t="s">
        <v>55</v>
      </c>
      <c r="J55" s="7" t="s">
        <v>55</v>
      </c>
      <c r="K55" s="11" t="s">
        <v>531</v>
      </c>
      <c r="L55" s="14" t="str">
        <f t="shared" si="1"/>
        <v>Não</v>
      </c>
      <c r="M55" s="7"/>
      <c r="N55" s="7"/>
      <c r="O55" s="7" t="s">
        <v>55</v>
      </c>
      <c r="P55" s="7"/>
      <c r="Q55" s="16" t="s">
        <v>55</v>
      </c>
      <c r="R55" s="16" t="s">
        <v>55</v>
      </c>
      <c r="S55" s="16" t="s">
        <v>55</v>
      </c>
      <c r="T55" s="16" t="s">
        <v>55</v>
      </c>
      <c r="U55" s="16" t="s">
        <v>55</v>
      </c>
      <c r="V55" s="16" t="s">
        <v>127</v>
      </c>
      <c r="W55" s="16" t="s">
        <v>532</v>
      </c>
      <c r="X55" s="6"/>
      <c r="Y55" s="6"/>
      <c r="Z55" s="6"/>
    </row>
    <row r="56" ht="15.0" customHeight="1">
      <c r="A56" s="7" t="s">
        <v>533</v>
      </c>
      <c r="B56" s="7" t="s">
        <v>534</v>
      </c>
      <c r="C56" s="7" t="s">
        <v>535</v>
      </c>
      <c r="D56" s="7" t="s">
        <v>46</v>
      </c>
      <c r="E56" s="7" t="s">
        <v>267</v>
      </c>
      <c r="F56" s="7" t="s">
        <v>52</v>
      </c>
      <c r="G56" s="11" t="s">
        <v>55</v>
      </c>
      <c r="H56" s="11" t="s">
        <v>55</v>
      </c>
      <c r="I56" s="11" t="s">
        <v>55</v>
      </c>
      <c r="J56" s="7" t="s">
        <v>55</v>
      </c>
      <c r="K56" s="7"/>
      <c r="L56" s="14" t="str">
        <f t="shared" si="1"/>
        <v>Sim</v>
      </c>
      <c r="M56" s="7"/>
      <c r="N56" s="7"/>
      <c r="O56" s="7" t="s">
        <v>55</v>
      </c>
      <c r="P56" s="7"/>
      <c r="Q56" s="16" t="s">
        <v>55</v>
      </c>
      <c r="R56" s="16" t="s">
        <v>55</v>
      </c>
      <c r="S56" s="16" t="s">
        <v>55</v>
      </c>
      <c r="T56" s="16" t="s">
        <v>55</v>
      </c>
      <c r="U56" s="16" t="s">
        <v>55</v>
      </c>
      <c r="V56" s="16" t="s">
        <v>127</v>
      </c>
      <c r="W56" s="16"/>
      <c r="X56" s="6"/>
      <c r="Y56" s="6"/>
      <c r="Z56" s="6"/>
    </row>
    <row r="57" ht="15.0" customHeight="1">
      <c r="A57" s="7" t="s">
        <v>536</v>
      </c>
      <c r="B57" s="7" t="s">
        <v>537</v>
      </c>
      <c r="C57" s="7" t="s">
        <v>538</v>
      </c>
      <c r="D57" s="7" t="s">
        <v>46</v>
      </c>
      <c r="E57" s="7" t="s">
        <v>107</v>
      </c>
      <c r="F57" s="7" t="s">
        <v>52</v>
      </c>
      <c r="G57" s="11" t="s">
        <v>55</v>
      </c>
      <c r="H57" s="11" t="s">
        <v>55</v>
      </c>
      <c r="I57" s="11" t="s">
        <v>55</v>
      </c>
      <c r="J57" s="7" t="s">
        <v>55</v>
      </c>
      <c r="K57" s="7"/>
      <c r="L57" s="14" t="str">
        <f t="shared" si="1"/>
        <v>Sim</v>
      </c>
      <c r="M57" s="7"/>
      <c r="N57" s="7"/>
      <c r="O57" s="7" t="s">
        <v>55</v>
      </c>
      <c r="P57" s="7"/>
      <c r="Q57" s="16" t="s">
        <v>55</v>
      </c>
      <c r="R57" s="16" t="s">
        <v>55</v>
      </c>
      <c r="S57" s="16" t="s">
        <v>55</v>
      </c>
      <c r="T57" s="16" t="s">
        <v>55</v>
      </c>
      <c r="U57" s="16" t="s">
        <v>55</v>
      </c>
      <c r="V57" s="16" t="s">
        <v>127</v>
      </c>
      <c r="W57" s="16"/>
      <c r="X57" s="6"/>
      <c r="Y57" s="6"/>
      <c r="Z57" s="6"/>
    </row>
    <row r="58" ht="15.0" customHeight="1">
      <c r="A58" s="7" t="s">
        <v>539</v>
      </c>
      <c r="B58" s="7" t="s">
        <v>540</v>
      </c>
      <c r="C58" s="7" t="s">
        <v>541</v>
      </c>
      <c r="D58" s="7" t="s">
        <v>46</v>
      </c>
      <c r="E58" s="7" t="s">
        <v>180</v>
      </c>
      <c r="F58" s="7" t="s">
        <v>52</v>
      </c>
      <c r="G58" s="11" t="s">
        <v>55</v>
      </c>
      <c r="H58" s="11" t="s">
        <v>55</v>
      </c>
      <c r="I58" s="11" t="s">
        <v>55</v>
      </c>
      <c r="J58" s="7" t="s">
        <v>55</v>
      </c>
      <c r="K58" s="7"/>
      <c r="L58" s="14" t="str">
        <f t="shared" si="1"/>
        <v>Sim</v>
      </c>
      <c r="M58" s="7"/>
      <c r="N58" s="7"/>
      <c r="O58" s="7" t="s">
        <v>55</v>
      </c>
      <c r="P58" s="7"/>
      <c r="Q58" s="16" t="s">
        <v>55</v>
      </c>
      <c r="R58" s="16" t="s">
        <v>55</v>
      </c>
      <c r="S58" s="16" t="s">
        <v>55</v>
      </c>
      <c r="T58" s="16" t="s">
        <v>55</v>
      </c>
      <c r="U58" s="16" t="s">
        <v>55</v>
      </c>
      <c r="V58" s="16" t="s">
        <v>184</v>
      </c>
      <c r="W58" s="16"/>
      <c r="X58" s="6"/>
      <c r="Y58" s="6"/>
      <c r="Z58" s="6"/>
    </row>
    <row r="59" ht="15.0" customHeight="1">
      <c r="A59" s="7" t="s">
        <v>542</v>
      </c>
      <c r="B59" s="7" t="s">
        <v>543</v>
      </c>
      <c r="C59" s="7" t="s">
        <v>544</v>
      </c>
      <c r="D59" s="7" t="s">
        <v>46</v>
      </c>
      <c r="E59" s="7" t="s">
        <v>180</v>
      </c>
      <c r="F59" s="7" t="s">
        <v>52</v>
      </c>
      <c r="G59" s="11" t="s">
        <v>55</v>
      </c>
      <c r="H59" s="11" t="s">
        <v>55</v>
      </c>
      <c r="I59" s="11" t="s">
        <v>55</v>
      </c>
      <c r="J59" s="7" t="s">
        <v>55</v>
      </c>
      <c r="K59" s="7"/>
      <c r="L59" s="14" t="str">
        <f t="shared" si="1"/>
        <v>Sim</v>
      </c>
      <c r="M59" s="7"/>
      <c r="N59" s="7"/>
      <c r="O59" s="7" t="s">
        <v>55</v>
      </c>
      <c r="P59" s="7"/>
      <c r="Q59" s="16" t="s">
        <v>55</v>
      </c>
      <c r="R59" s="16" t="s">
        <v>55</v>
      </c>
      <c r="S59" s="16" t="s">
        <v>55</v>
      </c>
      <c r="T59" s="16" t="s">
        <v>55</v>
      </c>
      <c r="U59" s="16" t="s">
        <v>55</v>
      </c>
      <c r="V59" s="16" t="s">
        <v>127</v>
      </c>
      <c r="W59" s="16"/>
      <c r="X59" s="6"/>
      <c r="Y59" s="6"/>
      <c r="Z59" s="6"/>
    </row>
    <row r="60" ht="15.0" customHeight="1">
      <c r="A60" s="7" t="s">
        <v>545</v>
      </c>
      <c r="B60" s="7" t="s">
        <v>546</v>
      </c>
      <c r="C60" s="7" t="s">
        <v>547</v>
      </c>
      <c r="D60" s="7" t="s">
        <v>46</v>
      </c>
      <c r="E60" s="7" t="s">
        <v>85</v>
      </c>
      <c r="F60" s="7" t="s">
        <v>52</v>
      </c>
      <c r="G60" s="11" t="s">
        <v>55</v>
      </c>
      <c r="H60" s="11" t="s">
        <v>55</v>
      </c>
      <c r="I60" s="11" t="s">
        <v>55</v>
      </c>
      <c r="J60" s="7" t="s">
        <v>55</v>
      </c>
      <c r="K60" s="7"/>
      <c r="L60" s="14" t="str">
        <f t="shared" si="1"/>
        <v>Sim</v>
      </c>
      <c r="M60" s="7"/>
      <c r="N60" s="7"/>
      <c r="O60" s="7" t="s">
        <v>55</v>
      </c>
      <c r="P60" s="7"/>
      <c r="Q60" s="16" t="s">
        <v>55</v>
      </c>
      <c r="R60" s="16" t="s">
        <v>55</v>
      </c>
      <c r="S60" s="16" t="s">
        <v>55</v>
      </c>
      <c r="T60" s="16" t="s">
        <v>55</v>
      </c>
      <c r="U60" s="16" t="s">
        <v>55</v>
      </c>
      <c r="V60" s="16" t="s">
        <v>127</v>
      </c>
      <c r="W60" s="16"/>
      <c r="X60" s="6"/>
      <c r="Y60" s="6"/>
      <c r="Z60" s="6"/>
    </row>
    <row r="61" ht="15.0" customHeight="1">
      <c r="A61" s="7" t="s">
        <v>548</v>
      </c>
      <c r="B61" s="7" t="s">
        <v>549</v>
      </c>
      <c r="C61" s="7" t="s">
        <v>550</v>
      </c>
      <c r="D61" s="7" t="s">
        <v>46</v>
      </c>
      <c r="E61" s="7" t="s">
        <v>243</v>
      </c>
      <c r="F61" s="7" t="s">
        <v>52</v>
      </c>
      <c r="G61" s="11" t="s">
        <v>55</v>
      </c>
      <c r="H61" s="11" t="s">
        <v>55</v>
      </c>
      <c r="I61" s="11" t="s">
        <v>55</v>
      </c>
      <c r="J61" s="7" t="s">
        <v>55</v>
      </c>
      <c r="K61" s="11" t="s">
        <v>554</v>
      </c>
      <c r="L61" s="14" t="str">
        <f t="shared" si="1"/>
        <v>Não</v>
      </c>
      <c r="M61" s="7"/>
      <c r="N61" s="7"/>
      <c r="O61" s="7" t="s">
        <v>55</v>
      </c>
      <c r="P61" s="7"/>
      <c r="Q61" s="16" t="s">
        <v>55</v>
      </c>
      <c r="R61" s="16" t="s">
        <v>55</v>
      </c>
      <c r="S61" s="16" t="s">
        <v>55</v>
      </c>
      <c r="T61" s="16" t="s">
        <v>55</v>
      </c>
      <c r="U61" s="16" t="s">
        <v>55</v>
      </c>
      <c r="V61" s="16" t="s">
        <v>127</v>
      </c>
      <c r="W61" s="16" t="s">
        <v>555</v>
      </c>
      <c r="X61" s="6"/>
      <c r="Y61" s="6"/>
      <c r="Z61" s="6"/>
    </row>
    <row r="62" ht="15.0" customHeight="1">
      <c r="A62" s="7" t="s">
        <v>556</v>
      </c>
      <c r="B62" s="7" t="s">
        <v>557</v>
      </c>
      <c r="C62" s="7" t="s">
        <v>558</v>
      </c>
      <c r="D62" s="7" t="s">
        <v>46</v>
      </c>
      <c r="E62" s="7" t="s">
        <v>80</v>
      </c>
      <c r="F62" s="7" t="s">
        <v>52</v>
      </c>
      <c r="G62" s="11" t="s">
        <v>55</v>
      </c>
      <c r="H62" s="11" t="s">
        <v>55</v>
      </c>
      <c r="I62" s="11" t="s">
        <v>55</v>
      </c>
      <c r="J62" s="7" t="s">
        <v>55</v>
      </c>
      <c r="K62" s="7"/>
      <c r="L62" s="14" t="str">
        <f t="shared" si="1"/>
        <v>Sim</v>
      </c>
      <c r="M62" s="7"/>
      <c r="N62" s="7"/>
      <c r="O62" s="7" t="s">
        <v>55</v>
      </c>
      <c r="P62" s="7"/>
      <c r="Q62" s="16" t="s">
        <v>55</v>
      </c>
      <c r="R62" s="16" t="s">
        <v>55</v>
      </c>
      <c r="S62" s="16" t="s">
        <v>55</v>
      </c>
      <c r="T62" s="16" t="s">
        <v>55</v>
      </c>
      <c r="U62" s="16" t="s">
        <v>55</v>
      </c>
      <c r="V62" s="16" t="s">
        <v>127</v>
      </c>
      <c r="W62" s="16"/>
      <c r="X62" s="6"/>
      <c r="Y62" s="6"/>
      <c r="Z62" s="6"/>
    </row>
    <row r="63" ht="15.0" customHeight="1">
      <c r="A63" s="7" t="s">
        <v>562</v>
      </c>
      <c r="B63" s="7" t="s">
        <v>563</v>
      </c>
      <c r="C63" s="7" t="s">
        <v>564</v>
      </c>
      <c r="D63" s="7" t="s">
        <v>46</v>
      </c>
      <c r="E63" s="7" t="s">
        <v>107</v>
      </c>
      <c r="F63" s="7" t="s">
        <v>52</v>
      </c>
      <c r="G63" s="11" t="s">
        <v>55</v>
      </c>
      <c r="H63" s="11" t="s">
        <v>55</v>
      </c>
      <c r="I63" s="11" t="s">
        <v>55</v>
      </c>
      <c r="J63" s="7" t="s">
        <v>55</v>
      </c>
      <c r="K63" s="11" t="s">
        <v>567</v>
      </c>
      <c r="L63" s="14" t="str">
        <f t="shared" si="1"/>
        <v>Não</v>
      </c>
      <c r="M63" s="7"/>
      <c r="N63" s="7"/>
      <c r="O63" s="7" t="s">
        <v>55</v>
      </c>
      <c r="P63" s="7"/>
      <c r="Q63" s="16" t="s">
        <v>55</v>
      </c>
      <c r="R63" s="16" t="s">
        <v>55</v>
      </c>
      <c r="S63" s="16" t="s">
        <v>55</v>
      </c>
      <c r="T63" s="16" t="s">
        <v>55</v>
      </c>
      <c r="U63" s="16" t="s">
        <v>55</v>
      </c>
      <c r="V63" s="16" t="s">
        <v>127</v>
      </c>
      <c r="W63" s="16" t="s">
        <v>568</v>
      </c>
      <c r="X63" s="6"/>
      <c r="Y63" s="6"/>
      <c r="Z63" s="6"/>
    </row>
    <row r="64" ht="15.0" customHeight="1">
      <c r="A64" s="7" t="s">
        <v>569</v>
      </c>
      <c r="B64" s="7" t="s">
        <v>570</v>
      </c>
      <c r="C64" s="7" t="s">
        <v>571</v>
      </c>
      <c r="D64" s="7" t="s">
        <v>46</v>
      </c>
      <c r="E64" s="7" t="s">
        <v>107</v>
      </c>
      <c r="F64" s="7" t="s">
        <v>52</v>
      </c>
      <c r="G64" s="11" t="s">
        <v>55</v>
      </c>
      <c r="H64" s="11" t="s">
        <v>55</v>
      </c>
      <c r="I64" s="11" t="s">
        <v>55</v>
      </c>
      <c r="J64" s="7" t="s">
        <v>55</v>
      </c>
      <c r="K64" s="11" t="s">
        <v>572</v>
      </c>
      <c r="L64" s="14" t="str">
        <f t="shared" si="1"/>
        <v>Não</v>
      </c>
      <c r="M64" s="7"/>
      <c r="N64" s="7"/>
      <c r="O64" s="7" t="s">
        <v>55</v>
      </c>
      <c r="P64" s="7"/>
      <c r="Q64" s="16" t="s">
        <v>55</v>
      </c>
      <c r="R64" s="16" t="s">
        <v>55</v>
      </c>
      <c r="S64" s="16" t="s">
        <v>55</v>
      </c>
      <c r="T64" s="16" t="s">
        <v>55</v>
      </c>
      <c r="U64" s="16" t="s">
        <v>55</v>
      </c>
      <c r="V64" s="16" t="s">
        <v>127</v>
      </c>
      <c r="W64" s="16" t="s">
        <v>573</v>
      </c>
      <c r="X64" s="6"/>
      <c r="Y64" s="6"/>
      <c r="Z64" s="6"/>
    </row>
    <row r="65" ht="15.0" customHeight="1">
      <c r="A65" s="7" t="s">
        <v>574</v>
      </c>
      <c r="B65" s="7" t="s">
        <v>575</v>
      </c>
      <c r="C65" s="7" t="s">
        <v>576</v>
      </c>
      <c r="D65" s="7" t="s">
        <v>46</v>
      </c>
      <c r="E65" s="7" t="s">
        <v>138</v>
      </c>
      <c r="F65" s="7" t="s">
        <v>52</v>
      </c>
      <c r="G65" s="11" t="s">
        <v>55</v>
      </c>
      <c r="H65" s="11" t="s">
        <v>55</v>
      </c>
      <c r="I65" s="11" t="s">
        <v>55</v>
      </c>
      <c r="J65" s="7" t="s">
        <v>55</v>
      </c>
      <c r="K65" s="7"/>
      <c r="L65" s="14" t="str">
        <f t="shared" si="1"/>
        <v>Sim</v>
      </c>
      <c r="M65" s="7"/>
      <c r="N65" s="7"/>
      <c r="O65" s="7" t="s">
        <v>55</v>
      </c>
      <c r="P65" s="7"/>
      <c r="Q65" s="16" t="s">
        <v>55</v>
      </c>
      <c r="R65" s="16" t="s">
        <v>55</v>
      </c>
      <c r="S65" s="16" t="s">
        <v>55</v>
      </c>
      <c r="T65" s="16" t="s">
        <v>55</v>
      </c>
      <c r="U65" s="16" t="s">
        <v>55</v>
      </c>
      <c r="V65" s="16" t="s">
        <v>127</v>
      </c>
      <c r="W65" s="16"/>
      <c r="X65" s="6"/>
      <c r="Y65" s="6"/>
      <c r="Z65" s="6"/>
    </row>
    <row r="66" ht="15.0" customHeight="1">
      <c r="A66" s="7" t="s">
        <v>578</v>
      </c>
      <c r="B66" s="7" t="s">
        <v>579</v>
      </c>
      <c r="C66" s="7" t="s">
        <v>580</v>
      </c>
      <c r="D66" s="7" t="s">
        <v>46</v>
      </c>
      <c r="E66" s="7" t="s">
        <v>48</v>
      </c>
      <c r="F66" s="7" t="s">
        <v>52</v>
      </c>
      <c r="G66" s="11" t="s">
        <v>55</v>
      </c>
      <c r="H66" s="11" t="s">
        <v>55</v>
      </c>
      <c r="I66" s="11" t="s">
        <v>55</v>
      </c>
      <c r="J66" s="7" t="s">
        <v>55</v>
      </c>
      <c r="K66" s="7"/>
      <c r="L66" s="14" t="str">
        <f t="shared" si="1"/>
        <v>Sim</v>
      </c>
      <c r="M66" s="7"/>
      <c r="N66" s="7"/>
      <c r="O66" s="7" t="s">
        <v>55</v>
      </c>
      <c r="P66" s="7"/>
      <c r="Q66" s="16" t="s">
        <v>55</v>
      </c>
      <c r="R66" s="16" t="s">
        <v>55</v>
      </c>
      <c r="S66" s="16" t="s">
        <v>55</v>
      </c>
      <c r="T66" s="16" t="s">
        <v>55</v>
      </c>
      <c r="U66" s="16" t="s">
        <v>55</v>
      </c>
      <c r="V66" s="16" t="s">
        <v>127</v>
      </c>
      <c r="W66" s="16"/>
      <c r="X66" s="6"/>
      <c r="Y66" s="6"/>
      <c r="Z66" s="6"/>
    </row>
    <row r="67" ht="15.0" customHeight="1">
      <c r="A67" s="7" t="s">
        <v>581</v>
      </c>
      <c r="B67" s="7" t="s">
        <v>582</v>
      </c>
      <c r="C67" s="7" t="s">
        <v>583</v>
      </c>
      <c r="D67" s="7" t="s">
        <v>46</v>
      </c>
      <c r="E67" s="7" t="s">
        <v>259</v>
      </c>
      <c r="F67" s="7" t="s">
        <v>52</v>
      </c>
      <c r="G67" s="11" t="s">
        <v>55</v>
      </c>
      <c r="H67" s="11" t="s">
        <v>55</v>
      </c>
      <c r="I67" s="11" t="s">
        <v>55</v>
      </c>
      <c r="J67" s="7" t="s">
        <v>55</v>
      </c>
      <c r="K67" s="7"/>
      <c r="L67" s="14" t="str">
        <f t="shared" si="1"/>
        <v>Sim</v>
      </c>
      <c r="M67" s="7"/>
      <c r="N67" s="7"/>
      <c r="O67" s="7" t="s">
        <v>55</v>
      </c>
      <c r="P67" s="7"/>
      <c r="Q67" s="16" t="s">
        <v>55</v>
      </c>
      <c r="R67" s="16" t="s">
        <v>55</v>
      </c>
      <c r="S67" s="16" t="s">
        <v>55</v>
      </c>
      <c r="T67" s="16" t="s">
        <v>55</v>
      </c>
      <c r="U67" s="16" t="s">
        <v>55</v>
      </c>
      <c r="V67" s="16" t="s">
        <v>127</v>
      </c>
      <c r="W67" s="16"/>
      <c r="X67" s="6"/>
      <c r="Y67" s="6"/>
      <c r="Z67" s="6"/>
    </row>
    <row r="68" ht="15.0" customHeight="1">
      <c r="A68" s="7" t="s">
        <v>584</v>
      </c>
      <c r="B68" s="7" t="s">
        <v>585</v>
      </c>
      <c r="C68" s="7" t="s">
        <v>586</v>
      </c>
      <c r="D68" s="7" t="s">
        <v>46</v>
      </c>
      <c r="E68" s="7" t="s">
        <v>138</v>
      </c>
      <c r="F68" s="7" t="s">
        <v>52</v>
      </c>
      <c r="G68" s="11" t="s">
        <v>55</v>
      </c>
      <c r="H68" s="11" t="s">
        <v>55</v>
      </c>
      <c r="I68" s="11" t="s">
        <v>55</v>
      </c>
      <c r="J68" s="7" t="s">
        <v>55</v>
      </c>
      <c r="K68" s="7"/>
      <c r="L68" s="14" t="str">
        <f t="shared" si="1"/>
        <v>Sim</v>
      </c>
      <c r="M68" s="7"/>
      <c r="N68" s="7"/>
      <c r="O68" s="7" t="s">
        <v>55</v>
      </c>
      <c r="P68" s="7"/>
      <c r="Q68" s="16" t="s">
        <v>55</v>
      </c>
      <c r="R68" s="16" t="s">
        <v>55</v>
      </c>
      <c r="S68" s="16" t="s">
        <v>55</v>
      </c>
      <c r="T68" s="16" t="s">
        <v>55</v>
      </c>
      <c r="U68" s="16" t="s">
        <v>55</v>
      </c>
      <c r="V68" s="16" t="s">
        <v>127</v>
      </c>
      <c r="W68" s="16"/>
      <c r="X68" s="6"/>
      <c r="Y68" s="6"/>
      <c r="Z68" s="6"/>
    </row>
    <row r="69" ht="15.0" customHeight="1">
      <c r="A69" s="7" t="s">
        <v>587</v>
      </c>
      <c r="B69" s="7" t="s">
        <v>588</v>
      </c>
      <c r="C69" s="7" t="s">
        <v>589</v>
      </c>
      <c r="D69" s="7" t="s">
        <v>46</v>
      </c>
      <c r="E69" s="7" t="s">
        <v>107</v>
      </c>
      <c r="F69" s="7" t="s">
        <v>52</v>
      </c>
      <c r="G69" s="11" t="s">
        <v>55</v>
      </c>
      <c r="H69" s="11" t="s">
        <v>55</v>
      </c>
      <c r="I69" s="11" t="s">
        <v>55</v>
      </c>
      <c r="J69" s="7" t="s">
        <v>55</v>
      </c>
      <c r="K69" s="11" t="s">
        <v>590</v>
      </c>
      <c r="L69" s="14" t="str">
        <f t="shared" si="1"/>
        <v>Não</v>
      </c>
      <c r="M69" s="7"/>
      <c r="N69" s="7"/>
      <c r="O69" s="7" t="s">
        <v>55</v>
      </c>
      <c r="P69" s="7"/>
      <c r="Q69" s="16" t="s">
        <v>55</v>
      </c>
      <c r="R69" s="16" t="s">
        <v>55</v>
      </c>
      <c r="S69" s="16" t="s">
        <v>55</v>
      </c>
      <c r="T69" s="16" t="s">
        <v>55</v>
      </c>
      <c r="U69" s="16" t="s">
        <v>55</v>
      </c>
      <c r="V69" s="16" t="s">
        <v>127</v>
      </c>
      <c r="W69" s="16" t="s">
        <v>591</v>
      </c>
      <c r="X69" s="6"/>
      <c r="Y69" s="6"/>
      <c r="Z69" s="6"/>
    </row>
    <row r="70" ht="15.0" customHeight="1">
      <c r="A70" s="7" t="s">
        <v>592</v>
      </c>
      <c r="B70" s="7" t="s">
        <v>593</v>
      </c>
      <c r="C70" s="7" t="s">
        <v>594</v>
      </c>
      <c r="D70" s="7" t="s">
        <v>46</v>
      </c>
      <c r="E70" s="7" t="s">
        <v>220</v>
      </c>
      <c r="F70" s="7" t="s">
        <v>52</v>
      </c>
      <c r="G70" s="11" t="s">
        <v>55</v>
      </c>
      <c r="H70" s="11" t="s">
        <v>55</v>
      </c>
      <c r="I70" s="11" t="s">
        <v>55</v>
      </c>
      <c r="J70" s="7" t="s">
        <v>55</v>
      </c>
      <c r="K70" s="11" t="s">
        <v>595</v>
      </c>
      <c r="L70" s="14" t="str">
        <f t="shared" si="1"/>
        <v>Não</v>
      </c>
      <c r="M70" s="7"/>
      <c r="N70" s="7"/>
      <c r="O70" s="7" t="s">
        <v>55</v>
      </c>
      <c r="P70" s="7"/>
      <c r="Q70" s="16" t="s">
        <v>55</v>
      </c>
      <c r="R70" s="16" t="s">
        <v>55</v>
      </c>
      <c r="S70" s="16" t="s">
        <v>55</v>
      </c>
      <c r="T70" s="16" t="s">
        <v>55</v>
      </c>
      <c r="U70" s="16" t="s">
        <v>55</v>
      </c>
      <c r="V70" s="16" t="s">
        <v>127</v>
      </c>
      <c r="W70" s="16" t="s">
        <v>596</v>
      </c>
      <c r="X70" s="6"/>
      <c r="Y70" s="6"/>
      <c r="Z70" s="6"/>
    </row>
    <row r="71" ht="15.0" customHeight="1">
      <c r="A71" s="7" t="s">
        <v>597</v>
      </c>
      <c r="B71" s="7" t="s">
        <v>598</v>
      </c>
      <c r="C71" s="7" t="s">
        <v>599</v>
      </c>
      <c r="D71" s="7" t="s">
        <v>46</v>
      </c>
      <c r="E71" s="7" t="s">
        <v>220</v>
      </c>
      <c r="F71" s="7" t="s">
        <v>52</v>
      </c>
      <c r="G71" s="11" t="s">
        <v>55</v>
      </c>
      <c r="H71" s="11" t="s">
        <v>55</v>
      </c>
      <c r="I71" s="11" t="s">
        <v>55</v>
      </c>
      <c r="J71" s="7" t="s">
        <v>55</v>
      </c>
      <c r="K71" s="7"/>
      <c r="L71" s="14" t="str">
        <f t="shared" si="1"/>
        <v>Sim</v>
      </c>
      <c r="M71" s="7"/>
      <c r="N71" s="7"/>
      <c r="O71" s="7" t="s">
        <v>55</v>
      </c>
      <c r="P71" s="7"/>
      <c r="Q71" s="16" t="s">
        <v>55</v>
      </c>
      <c r="R71" s="16" t="s">
        <v>55</v>
      </c>
      <c r="S71" s="16" t="s">
        <v>55</v>
      </c>
      <c r="T71" s="16" t="s">
        <v>55</v>
      </c>
      <c r="U71" s="16" t="s">
        <v>55</v>
      </c>
      <c r="V71" s="16" t="s">
        <v>127</v>
      </c>
      <c r="W71" s="16"/>
      <c r="X71" s="6"/>
      <c r="Y71" s="6"/>
      <c r="Z71" s="6"/>
    </row>
    <row r="72" ht="15.0" customHeight="1">
      <c r="A72" s="7" t="s">
        <v>600</v>
      </c>
      <c r="B72" s="7" t="s">
        <v>601</v>
      </c>
      <c r="C72" s="7" t="s">
        <v>602</v>
      </c>
      <c r="D72" s="7" t="s">
        <v>46</v>
      </c>
      <c r="E72" s="7" t="s">
        <v>138</v>
      </c>
      <c r="F72" s="7" t="s">
        <v>52</v>
      </c>
      <c r="G72" s="11" t="s">
        <v>55</v>
      </c>
      <c r="H72" s="11" t="s">
        <v>55</v>
      </c>
      <c r="I72" s="11" t="s">
        <v>55</v>
      </c>
      <c r="J72" s="7" t="s">
        <v>55</v>
      </c>
      <c r="K72" s="11" t="s">
        <v>603</v>
      </c>
      <c r="L72" s="14" t="str">
        <f t="shared" si="1"/>
        <v>Não</v>
      </c>
      <c r="M72" s="7"/>
      <c r="N72" s="7"/>
      <c r="O72" s="7" t="s">
        <v>55</v>
      </c>
      <c r="P72" s="7"/>
      <c r="Q72" s="16" t="s">
        <v>55</v>
      </c>
      <c r="R72" s="16" t="s">
        <v>55</v>
      </c>
      <c r="S72" s="16" t="s">
        <v>55</v>
      </c>
      <c r="T72" s="16" t="s">
        <v>55</v>
      </c>
      <c r="U72" s="16" t="s">
        <v>55</v>
      </c>
      <c r="V72" s="16" t="s">
        <v>127</v>
      </c>
      <c r="W72" s="16" t="s">
        <v>604</v>
      </c>
      <c r="X72" s="6"/>
      <c r="Y72" s="6"/>
      <c r="Z72" s="6"/>
    </row>
    <row r="73" ht="15.0" customHeight="1">
      <c r="A73" s="7" t="s">
        <v>605</v>
      </c>
      <c r="B73" s="7" t="s">
        <v>606</v>
      </c>
      <c r="C73" s="7" t="s">
        <v>607</v>
      </c>
      <c r="D73" s="7" t="s">
        <v>46</v>
      </c>
      <c r="E73" s="7" t="s">
        <v>138</v>
      </c>
      <c r="F73" s="7" t="s">
        <v>52</v>
      </c>
      <c r="G73" s="11" t="s">
        <v>55</v>
      </c>
      <c r="H73" s="11" t="s">
        <v>55</v>
      </c>
      <c r="I73" s="11" t="s">
        <v>55</v>
      </c>
      <c r="J73" s="7" t="s">
        <v>55</v>
      </c>
      <c r="K73" s="11" t="s">
        <v>608</v>
      </c>
      <c r="L73" s="14" t="str">
        <f t="shared" si="1"/>
        <v>Não</v>
      </c>
      <c r="M73" s="7"/>
      <c r="N73" s="7"/>
      <c r="O73" s="7" t="s">
        <v>55</v>
      </c>
      <c r="P73" s="7"/>
      <c r="Q73" s="16" t="s">
        <v>55</v>
      </c>
      <c r="R73" s="16" t="s">
        <v>55</v>
      </c>
      <c r="S73" s="16" t="s">
        <v>55</v>
      </c>
      <c r="T73" s="16" t="s">
        <v>55</v>
      </c>
      <c r="U73" s="16" t="s">
        <v>55</v>
      </c>
      <c r="V73" s="16" t="s">
        <v>127</v>
      </c>
      <c r="W73" s="16" t="s">
        <v>609</v>
      </c>
      <c r="X73" s="6"/>
      <c r="Y73" s="6"/>
      <c r="Z73" s="6"/>
    </row>
    <row r="74" ht="15.0" customHeight="1">
      <c r="A74" s="7" t="s">
        <v>610</v>
      </c>
      <c r="B74" s="7" t="s">
        <v>611</v>
      </c>
      <c r="C74" s="7" t="s">
        <v>612</v>
      </c>
      <c r="D74" s="7" t="s">
        <v>46</v>
      </c>
      <c r="E74" s="7" t="s">
        <v>80</v>
      </c>
      <c r="F74" s="7" t="s">
        <v>52</v>
      </c>
      <c r="G74" s="11" t="s">
        <v>55</v>
      </c>
      <c r="H74" s="11" t="s">
        <v>55</v>
      </c>
      <c r="I74" s="11" t="s">
        <v>55</v>
      </c>
      <c r="J74" s="7" t="s">
        <v>55</v>
      </c>
      <c r="K74" s="11" t="s">
        <v>613</v>
      </c>
      <c r="L74" s="14" t="str">
        <f t="shared" si="1"/>
        <v>Não</v>
      </c>
      <c r="M74" s="7"/>
      <c r="N74" s="7"/>
      <c r="O74" s="7" t="s">
        <v>55</v>
      </c>
      <c r="P74" s="7"/>
      <c r="Q74" s="16" t="s">
        <v>55</v>
      </c>
      <c r="R74" s="16" t="s">
        <v>55</v>
      </c>
      <c r="S74" s="16" t="s">
        <v>55</v>
      </c>
      <c r="T74" s="16" t="s">
        <v>55</v>
      </c>
      <c r="U74" s="16" t="s">
        <v>55</v>
      </c>
      <c r="V74" s="16" t="s">
        <v>127</v>
      </c>
      <c r="W74" s="16" t="s">
        <v>614</v>
      </c>
      <c r="X74" s="6"/>
      <c r="Y74" s="6"/>
      <c r="Z74" s="6"/>
    </row>
    <row r="75" ht="15.0" customHeight="1">
      <c r="A75" s="7" t="s">
        <v>615</v>
      </c>
      <c r="B75" s="7" t="s">
        <v>616</v>
      </c>
      <c r="C75" s="7" t="s">
        <v>617</v>
      </c>
      <c r="D75" s="7" t="s">
        <v>46</v>
      </c>
      <c r="E75" s="7" t="s">
        <v>80</v>
      </c>
      <c r="F75" s="7" t="s">
        <v>52</v>
      </c>
      <c r="G75" s="11" t="s">
        <v>57</v>
      </c>
      <c r="H75" s="11" t="s">
        <v>55</v>
      </c>
      <c r="I75" s="11" t="s">
        <v>55</v>
      </c>
      <c r="J75" s="7" t="s">
        <v>55</v>
      </c>
      <c r="K75" s="7"/>
      <c r="L75" s="14" t="str">
        <f t="shared" si="1"/>
        <v>Não</v>
      </c>
      <c r="M75" s="7"/>
      <c r="N75" s="7"/>
      <c r="O75" s="7" t="s">
        <v>55</v>
      </c>
      <c r="P75" s="7"/>
      <c r="Q75" s="16" t="s">
        <v>57</v>
      </c>
      <c r="R75" s="16" t="s">
        <v>55</v>
      </c>
      <c r="S75" s="16" t="s">
        <v>55</v>
      </c>
      <c r="T75" s="16" t="s">
        <v>55</v>
      </c>
      <c r="U75" s="16" t="s">
        <v>57</v>
      </c>
      <c r="V75" s="16" t="s">
        <v>621</v>
      </c>
      <c r="W75" s="16"/>
      <c r="X75" s="6"/>
      <c r="Y75" s="6"/>
      <c r="Z75" s="6"/>
    </row>
    <row r="76" ht="15.0" customHeight="1">
      <c r="A76" s="7" t="s">
        <v>622</v>
      </c>
      <c r="B76" s="7" t="s">
        <v>623</v>
      </c>
      <c r="C76" s="7" t="s">
        <v>624</v>
      </c>
      <c r="D76" s="7" t="s">
        <v>46</v>
      </c>
      <c r="E76" s="7" t="s">
        <v>138</v>
      </c>
      <c r="F76" s="7" t="s">
        <v>52</v>
      </c>
      <c r="G76" s="11" t="s">
        <v>55</v>
      </c>
      <c r="H76" s="11" t="s">
        <v>55</v>
      </c>
      <c r="I76" s="11" t="s">
        <v>55</v>
      </c>
      <c r="J76" s="7" t="s">
        <v>55</v>
      </c>
      <c r="K76" s="7"/>
      <c r="L76" s="14" t="str">
        <f t="shared" si="1"/>
        <v>Sim</v>
      </c>
      <c r="M76" s="7"/>
      <c r="N76" s="7"/>
      <c r="O76" s="7" t="s">
        <v>55</v>
      </c>
      <c r="P76" s="7"/>
      <c r="Q76" s="16" t="s">
        <v>55</v>
      </c>
      <c r="R76" s="16" t="s">
        <v>57</v>
      </c>
      <c r="S76" s="16" t="s">
        <v>57</v>
      </c>
      <c r="T76" s="16" t="s">
        <v>55</v>
      </c>
      <c r="U76" s="16" t="s">
        <v>57</v>
      </c>
      <c r="V76" s="16" t="s">
        <v>99</v>
      </c>
      <c r="W76" s="16"/>
      <c r="X76" s="6"/>
      <c r="Y76" s="6"/>
      <c r="Z76" s="6"/>
    </row>
    <row r="77" ht="15.0" customHeight="1">
      <c r="A77" s="7" t="s">
        <v>625</v>
      </c>
      <c r="B77" s="7" t="s">
        <v>626</v>
      </c>
      <c r="C77" s="7" t="s">
        <v>627</v>
      </c>
      <c r="D77" s="7" t="s">
        <v>46</v>
      </c>
      <c r="E77" s="7" t="s">
        <v>259</v>
      </c>
      <c r="F77" s="7" t="s">
        <v>52</v>
      </c>
      <c r="G77" s="11" t="s">
        <v>55</v>
      </c>
      <c r="H77" s="11" t="s">
        <v>55</v>
      </c>
      <c r="I77" s="11" t="s">
        <v>55</v>
      </c>
      <c r="J77" s="7" t="s">
        <v>55</v>
      </c>
      <c r="K77" s="7"/>
      <c r="L77" s="14" t="str">
        <f t="shared" si="1"/>
        <v>Sim</v>
      </c>
      <c r="M77" s="7"/>
      <c r="N77" s="7"/>
      <c r="O77" s="7" t="s">
        <v>55</v>
      </c>
      <c r="P77" s="7"/>
      <c r="Q77" s="16" t="s">
        <v>55</v>
      </c>
      <c r="R77" s="16" t="s">
        <v>55</v>
      </c>
      <c r="S77" s="16" t="s">
        <v>55</v>
      </c>
      <c r="T77" s="16" t="s">
        <v>55</v>
      </c>
      <c r="U77" s="16" t="s">
        <v>55</v>
      </c>
      <c r="V77" s="16" t="s">
        <v>127</v>
      </c>
      <c r="W77" s="16"/>
      <c r="X77" s="6"/>
      <c r="Y77" s="6"/>
      <c r="Z77" s="6"/>
    </row>
    <row r="78" ht="15.0" customHeight="1">
      <c r="A78" s="7" t="s">
        <v>633</v>
      </c>
      <c r="B78" s="7" t="s">
        <v>634</v>
      </c>
      <c r="C78" s="7" t="s">
        <v>635</v>
      </c>
      <c r="D78" s="7" t="s">
        <v>46</v>
      </c>
      <c r="E78" s="7" t="s">
        <v>138</v>
      </c>
      <c r="F78" s="7" t="s">
        <v>52</v>
      </c>
      <c r="G78" s="11" t="s">
        <v>55</v>
      </c>
      <c r="H78" s="11" t="s">
        <v>55</v>
      </c>
      <c r="I78" s="11" t="s">
        <v>55</v>
      </c>
      <c r="J78" s="7" t="s">
        <v>55</v>
      </c>
      <c r="K78" s="7"/>
      <c r="L78" s="14" t="str">
        <f t="shared" si="1"/>
        <v>Sim</v>
      </c>
      <c r="M78" s="7"/>
      <c r="N78" s="7"/>
      <c r="O78" s="7" t="s">
        <v>55</v>
      </c>
      <c r="P78" s="7"/>
      <c r="Q78" s="16" t="s">
        <v>55</v>
      </c>
      <c r="R78" s="16" t="s">
        <v>55</v>
      </c>
      <c r="S78" s="16" t="s">
        <v>55</v>
      </c>
      <c r="T78" s="16" t="s">
        <v>55</v>
      </c>
      <c r="U78" s="16" t="s">
        <v>55</v>
      </c>
      <c r="V78" s="16" t="s">
        <v>127</v>
      </c>
      <c r="W78" s="16"/>
      <c r="X78" s="6"/>
      <c r="Y78" s="6"/>
      <c r="Z78" s="6"/>
    </row>
    <row r="79" ht="15.0" customHeight="1">
      <c r="A79" s="7" t="s">
        <v>636</v>
      </c>
      <c r="B79" s="7" t="s">
        <v>637</v>
      </c>
      <c r="C79" s="7" t="s">
        <v>638</v>
      </c>
      <c r="D79" s="7" t="s">
        <v>46</v>
      </c>
      <c r="E79" s="7" t="s">
        <v>259</v>
      </c>
      <c r="F79" s="7" t="s">
        <v>52</v>
      </c>
      <c r="G79" s="11" t="s">
        <v>55</v>
      </c>
      <c r="H79" s="11" t="s">
        <v>55</v>
      </c>
      <c r="I79" s="11" t="s">
        <v>55</v>
      </c>
      <c r="J79" s="7" t="s">
        <v>55</v>
      </c>
      <c r="K79" s="11" t="s">
        <v>639</v>
      </c>
      <c r="L79" s="14" t="str">
        <f t="shared" si="1"/>
        <v>Não</v>
      </c>
      <c r="M79" s="7"/>
      <c r="N79" s="7"/>
      <c r="O79" s="7" t="s">
        <v>55</v>
      </c>
      <c r="P79" s="7"/>
      <c r="Q79" s="16" t="s">
        <v>55</v>
      </c>
      <c r="R79" s="16" t="s">
        <v>55</v>
      </c>
      <c r="S79" s="16" t="s">
        <v>55</v>
      </c>
      <c r="T79" s="16" t="s">
        <v>55</v>
      </c>
      <c r="U79" s="16" t="s">
        <v>55</v>
      </c>
      <c r="V79" s="16" t="s">
        <v>127</v>
      </c>
      <c r="W79" s="16" t="s">
        <v>640</v>
      </c>
      <c r="X79" s="6"/>
      <c r="Y79" s="6"/>
      <c r="Z79" s="6"/>
    </row>
    <row r="80" ht="15.0" customHeight="1">
      <c r="A80" s="7" t="s">
        <v>641</v>
      </c>
      <c r="B80" s="7" t="s">
        <v>642</v>
      </c>
      <c r="C80" s="7" t="s">
        <v>643</v>
      </c>
      <c r="D80" s="7" t="s">
        <v>46</v>
      </c>
      <c r="E80" s="7" t="s">
        <v>267</v>
      </c>
      <c r="F80" s="7" t="s">
        <v>52</v>
      </c>
      <c r="G80" s="11" t="s">
        <v>55</v>
      </c>
      <c r="H80" s="11" t="s">
        <v>55</v>
      </c>
      <c r="I80" s="11" t="s">
        <v>55</v>
      </c>
      <c r="J80" s="7" t="s">
        <v>55</v>
      </c>
      <c r="K80" s="11" t="s">
        <v>645</v>
      </c>
      <c r="L80" s="14" t="str">
        <f t="shared" si="1"/>
        <v>Não</v>
      </c>
      <c r="M80" s="7"/>
      <c r="N80" s="7"/>
      <c r="O80" s="7" t="s">
        <v>55</v>
      </c>
      <c r="P80" s="7"/>
      <c r="Q80" s="16" t="s">
        <v>55</v>
      </c>
      <c r="R80" s="16" t="s">
        <v>55</v>
      </c>
      <c r="S80" s="16" t="s">
        <v>55</v>
      </c>
      <c r="T80" s="16" t="s">
        <v>55</v>
      </c>
      <c r="U80" s="16" t="s">
        <v>55</v>
      </c>
      <c r="V80" s="16" t="s">
        <v>127</v>
      </c>
      <c r="W80" s="16" t="s">
        <v>646</v>
      </c>
      <c r="X80" s="6"/>
      <c r="Y80" s="6"/>
      <c r="Z80" s="6"/>
    </row>
    <row r="81" ht="15.0" customHeight="1">
      <c r="A81" s="7" t="s">
        <v>647</v>
      </c>
      <c r="B81" s="7" t="s">
        <v>648</v>
      </c>
      <c r="C81" s="7" t="s">
        <v>649</v>
      </c>
      <c r="D81" s="7" t="s">
        <v>46</v>
      </c>
      <c r="E81" s="7" t="s">
        <v>85</v>
      </c>
      <c r="F81" s="7" t="s">
        <v>52</v>
      </c>
      <c r="G81" s="11" t="s">
        <v>55</v>
      </c>
      <c r="H81" s="11" t="s">
        <v>55</v>
      </c>
      <c r="I81" s="11" t="s">
        <v>55</v>
      </c>
      <c r="J81" s="7" t="s">
        <v>55</v>
      </c>
      <c r="K81" s="7"/>
      <c r="L81" s="14" t="str">
        <f t="shared" si="1"/>
        <v>Sim</v>
      </c>
      <c r="M81" s="7"/>
      <c r="N81" s="7"/>
      <c r="O81" s="7" t="s">
        <v>55</v>
      </c>
      <c r="P81" s="7"/>
      <c r="Q81" s="16" t="s">
        <v>55</v>
      </c>
      <c r="R81" s="16" t="s">
        <v>55</v>
      </c>
      <c r="S81" s="16" t="s">
        <v>55</v>
      </c>
      <c r="T81" s="16" t="s">
        <v>55</v>
      </c>
      <c r="U81" s="16" t="s">
        <v>55</v>
      </c>
      <c r="V81" s="16" t="s">
        <v>127</v>
      </c>
      <c r="W81" s="16"/>
      <c r="X81" s="6"/>
      <c r="Y81" s="6"/>
      <c r="Z81" s="6"/>
    </row>
    <row r="82" ht="15.0" customHeight="1">
      <c r="A82" s="7" t="s">
        <v>650</v>
      </c>
      <c r="B82" s="7" t="s">
        <v>651</v>
      </c>
      <c r="C82" s="7" t="s">
        <v>652</v>
      </c>
      <c r="D82" s="7" t="s">
        <v>46</v>
      </c>
      <c r="E82" s="7" t="s">
        <v>107</v>
      </c>
      <c r="F82" s="7" t="s">
        <v>52</v>
      </c>
      <c r="G82" s="11" t="s">
        <v>55</v>
      </c>
      <c r="H82" s="11" t="s">
        <v>55</v>
      </c>
      <c r="I82" s="11" t="s">
        <v>55</v>
      </c>
      <c r="J82" s="7" t="s">
        <v>55</v>
      </c>
      <c r="K82" s="11" t="s">
        <v>653</v>
      </c>
      <c r="L82" s="14" t="str">
        <f t="shared" si="1"/>
        <v>Não</v>
      </c>
      <c r="M82" s="7"/>
      <c r="N82" s="7"/>
      <c r="O82" s="7" t="s">
        <v>55</v>
      </c>
      <c r="P82" s="7"/>
      <c r="Q82" s="16" t="s">
        <v>55</v>
      </c>
      <c r="R82" s="16" t="s">
        <v>55</v>
      </c>
      <c r="S82" s="16" t="s">
        <v>55</v>
      </c>
      <c r="T82" s="16" t="s">
        <v>55</v>
      </c>
      <c r="U82" s="16" t="s">
        <v>55</v>
      </c>
      <c r="V82" s="16" t="s">
        <v>127</v>
      </c>
      <c r="W82" s="16" t="s">
        <v>654</v>
      </c>
      <c r="X82" s="6"/>
      <c r="Y82" s="6"/>
      <c r="Z82" s="6"/>
    </row>
    <row r="83" ht="15.0" customHeight="1">
      <c r="A83" s="7" t="s">
        <v>655</v>
      </c>
      <c r="B83" s="7" t="s">
        <v>656</v>
      </c>
      <c r="C83" s="7" t="s">
        <v>657</v>
      </c>
      <c r="D83" s="7" t="s">
        <v>46</v>
      </c>
      <c r="E83" s="7" t="s">
        <v>107</v>
      </c>
      <c r="F83" s="7" t="s">
        <v>52</v>
      </c>
      <c r="G83" s="11" t="s">
        <v>55</v>
      </c>
      <c r="H83" s="11" t="s">
        <v>55</v>
      </c>
      <c r="I83" s="11" t="s">
        <v>55</v>
      </c>
      <c r="J83" s="7" t="s">
        <v>55</v>
      </c>
      <c r="K83" s="7"/>
      <c r="L83" s="14" t="str">
        <f t="shared" si="1"/>
        <v>Sim</v>
      </c>
      <c r="M83" s="7"/>
      <c r="N83" s="7"/>
      <c r="O83" s="7" t="s">
        <v>55</v>
      </c>
      <c r="P83" s="7"/>
      <c r="Q83" s="16" t="s">
        <v>55</v>
      </c>
      <c r="R83" s="16" t="s">
        <v>55</v>
      </c>
      <c r="S83" s="16" t="s">
        <v>55</v>
      </c>
      <c r="T83" s="16" t="s">
        <v>55</v>
      </c>
      <c r="U83" s="16" t="s">
        <v>55</v>
      </c>
      <c r="V83" s="16" t="s">
        <v>127</v>
      </c>
      <c r="W83" s="16"/>
      <c r="X83" s="6"/>
      <c r="Y83" s="6"/>
      <c r="Z83" s="6"/>
    </row>
    <row r="84" ht="15.0" customHeight="1">
      <c r="A84" s="7" t="s">
        <v>658</v>
      </c>
      <c r="B84" s="7" t="s">
        <v>659</v>
      </c>
      <c r="C84" s="7" t="s">
        <v>660</v>
      </c>
      <c r="D84" s="7" t="s">
        <v>46</v>
      </c>
      <c r="E84" s="7" t="s">
        <v>107</v>
      </c>
      <c r="F84" s="7" t="s">
        <v>52</v>
      </c>
      <c r="G84" s="11" t="s">
        <v>55</v>
      </c>
      <c r="H84" s="11" t="s">
        <v>55</v>
      </c>
      <c r="I84" s="11" t="s">
        <v>55</v>
      </c>
      <c r="J84" s="7" t="s">
        <v>55</v>
      </c>
      <c r="K84" s="11" t="s">
        <v>661</v>
      </c>
      <c r="L84" s="14" t="str">
        <f t="shared" si="1"/>
        <v>Não</v>
      </c>
      <c r="M84" s="7"/>
      <c r="N84" s="7"/>
      <c r="O84" s="7" t="s">
        <v>55</v>
      </c>
      <c r="P84" s="7"/>
      <c r="Q84" s="16" t="s">
        <v>55</v>
      </c>
      <c r="R84" s="16" t="s">
        <v>55</v>
      </c>
      <c r="S84" s="16" t="s">
        <v>55</v>
      </c>
      <c r="T84" s="16" t="s">
        <v>55</v>
      </c>
      <c r="U84" s="16" t="s">
        <v>55</v>
      </c>
      <c r="V84" s="16" t="s">
        <v>127</v>
      </c>
      <c r="W84" s="16" t="s">
        <v>662</v>
      </c>
      <c r="X84" s="6"/>
      <c r="Y84" s="6"/>
      <c r="Z84" s="6"/>
    </row>
    <row r="85" ht="15.0" customHeight="1">
      <c r="A85" s="7" t="s">
        <v>663</v>
      </c>
      <c r="B85" s="7" t="s">
        <v>664</v>
      </c>
      <c r="C85" s="7" t="s">
        <v>665</v>
      </c>
      <c r="D85" s="7" t="s">
        <v>46</v>
      </c>
      <c r="E85" s="7" t="s">
        <v>138</v>
      </c>
      <c r="F85" s="7" t="s">
        <v>52</v>
      </c>
      <c r="G85" s="11" t="s">
        <v>55</v>
      </c>
      <c r="H85" s="11" t="s">
        <v>55</v>
      </c>
      <c r="I85" s="11" t="s">
        <v>55</v>
      </c>
      <c r="J85" s="7" t="s">
        <v>55</v>
      </c>
      <c r="K85" s="11" t="s">
        <v>666</v>
      </c>
      <c r="L85" s="14" t="str">
        <f t="shared" si="1"/>
        <v>Não</v>
      </c>
      <c r="M85" s="7"/>
      <c r="N85" s="7"/>
      <c r="O85" s="7" t="s">
        <v>55</v>
      </c>
      <c r="P85" s="7"/>
      <c r="Q85" s="16" t="s">
        <v>55</v>
      </c>
      <c r="R85" s="16" t="s">
        <v>55</v>
      </c>
      <c r="S85" s="16" t="s">
        <v>55</v>
      </c>
      <c r="T85" s="16" t="s">
        <v>55</v>
      </c>
      <c r="U85" s="16" t="s">
        <v>55</v>
      </c>
      <c r="V85" s="16" t="s">
        <v>127</v>
      </c>
      <c r="W85" s="16" t="s">
        <v>667</v>
      </c>
      <c r="X85" s="6"/>
      <c r="Y85" s="6"/>
      <c r="Z85" s="6"/>
    </row>
    <row r="86" ht="15.0" customHeight="1">
      <c r="A86" s="7" t="s">
        <v>668</v>
      </c>
      <c r="B86" s="7" t="s">
        <v>669</v>
      </c>
      <c r="C86" s="7" t="s">
        <v>670</v>
      </c>
      <c r="D86" s="7" t="s">
        <v>46</v>
      </c>
      <c r="E86" s="7" t="s">
        <v>259</v>
      </c>
      <c r="F86" s="7" t="s">
        <v>52</v>
      </c>
      <c r="G86" s="11" t="s">
        <v>55</v>
      </c>
      <c r="H86" s="11" t="s">
        <v>55</v>
      </c>
      <c r="I86" s="11" t="s">
        <v>55</v>
      </c>
      <c r="J86" s="7" t="s">
        <v>55</v>
      </c>
      <c r="K86" s="7"/>
      <c r="L86" s="14" t="str">
        <f t="shared" si="1"/>
        <v>Sim</v>
      </c>
      <c r="M86" s="7"/>
      <c r="N86" s="7"/>
      <c r="O86" s="7" t="s">
        <v>55</v>
      </c>
      <c r="P86" s="7"/>
      <c r="Q86" s="16" t="s">
        <v>55</v>
      </c>
      <c r="R86" s="16" t="s">
        <v>55</v>
      </c>
      <c r="S86" s="16" t="s">
        <v>55</v>
      </c>
      <c r="T86" s="16" t="s">
        <v>55</v>
      </c>
      <c r="U86" s="16" t="s">
        <v>55</v>
      </c>
      <c r="V86" s="16" t="s">
        <v>127</v>
      </c>
      <c r="W86" s="16"/>
      <c r="X86" s="6"/>
      <c r="Y86" s="6"/>
      <c r="Z86" s="6"/>
    </row>
    <row r="87" ht="15.0" customHeight="1">
      <c r="A87" s="7" t="s">
        <v>671</v>
      </c>
      <c r="B87" s="7" t="s">
        <v>672</v>
      </c>
      <c r="C87" s="7" t="s">
        <v>673</v>
      </c>
      <c r="D87" s="7" t="s">
        <v>46</v>
      </c>
      <c r="E87" s="7" t="s">
        <v>220</v>
      </c>
      <c r="F87" s="7" t="s">
        <v>52</v>
      </c>
      <c r="G87" s="11" t="s">
        <v>55</v>
      </c>
      <c r="H87" s="11" t="s">
        <v>55</v>
      </c>
      <c r="I87" s="11" t="s">
        <v>55</v>
      </c>
      <c r="J87" s="7" t="s">
        <v>55</v>
      </c>
      <c r="K87" s="7"/>
      <c r="L87" s="14" t="str">
        <f t="shared" si="1"/>
        <v>Sim</v>
      </c>
      <c r="M87" s="11" t="s">
        <v>87</v>
      </c>
      <c r="N87" s="7"/>
      <c r="O87" s="7" t="s">
        <v>55</v>
      </c>
      <c r="P87" s="7"/>
      <c r="Q87" s="16" t="s">
        <v>55</v>
      </c>
      <c r="R87" s="16" t="s">
        <v>55</v>
      </c>
      <c r="S87" s="16" t="s">
        <v>55</v>
      </c>
      <c r="T87" s="16" t="s">
        <v>55</v>
      </c>
      <c r="U87" s="16" t="s">
        <v>55</v>
      </c>
      <c r="V87" s="16" t="s">
        <v>127</v>
      </c>
      <c r="W87" s="16"/>
      <c r="X87" s="6"/>
      <c r="Y87" s="6"/>
      <c r="Z87" s="6"/>
    </row>
    <row r="88" ht="15.0" customHeight="1">
      <c r="A88" s="7" t="s">
        <v>674</v>
      </c>
      <c r="B88" s="7" t="s">
        <v>675</v>
      </c>
      <c r="C88" s="7" t="s">
        <v>676</v>
      </c>
      <c r="D88" s="7" t="s">
        <v>46</v>
      </c>
      <c r="E88" s="7" t="s">
        <v>107</v>
      </c>
      <c r="F88" s="7" t="s">
        <v>52</v>
      </c>
      <c r="G88" s="11" t="s">
        <v>55</v>
      </c>
      <c r="H88" s="11" t="s">
        <v>55</v>
      </c>
      <c r="I88" s="11" t="s">
        <v>55</v>
      </c>
      <c r="J88" s="7" t="s">
        <v>55</v>
      </c>
      <c r="K88" s="11" t="s">
        <v>677</v>
      </c>
      <c r="L88" s="14" t="str">
        <f t="shared" si="1"/>
        <v>Não</v>
      </c>
      <c r="M88" s="7"/>
      <c r="N88" s="7"/>
      <c r="O88" s="7" t="s">
        <v>55</v>
      </c>
      <c r="P88" s="7"/>
      <c r="Q88" s="16" t="s">
        <v>55</v>
      </c>
      <c r="R88" s="16" t="s">
        <v>55</v>
      </c>
      <c r="S88" s="16" t="s">
        <v>55</v>
      </c>
      <c r="T88" s="16" t="s">
        <v>55</v>
      </c>
      <c r="U88" s="16" t="s">
        <v>55</v>
      </c>
      <c r="V88" s="16" t="s">
        <v>127</v>
      </c>
      <c r="W88" s="16" t="s">
        <v>678</v>
      </c>
      <c r="X88" s="6"/>
      <c r="Y88" s="6"/>
      <c r="Z88" s="6"/>
    </row>
    <row r="89" ht="15.0" customHeight="1">
      <c r="A89" s="7" t="s">
        <v>679</v>
      </c>
      <c r="B89" s="7" t="s">
        <v>680</v>
      </c>
      <c r="C89" s="7" t="s">
        <v>681</v>
      </c>
      <c r="D89" s="7" t="s">
        <v>46</v>
      </c>
      <c r="E89" s="7" t="s">
        <v>138</v>
      </c>
      <c r="F89" s="7" t="s">
        <v>52</v>
      </c>
      <c r="G89" s="11" t="s">
        <v>55</v>
      </c>
      <c r="H89" s="11" t="s">
        <v>55</v>
      </c>
      <c r="I89" s="11" t="s">
        <v>55</v>
      </c>
      <c r="J89" s="7" t="s">
        <v>55</v>
      </c>
      <c r="K89" s="7"/>
      <c r="L89" s="14" t="str">
        <f t="shared" si="1"/>
        <v>Sim</v>
      </c>
      <c r="M89" s="7"/>
      <c r="N89" s="7"/>
      <c r="O89" s="7" t="s">
        <v>55</v>
      </c>
      <c r="P89" s="7"/>
      <c r="Q89" s="16" t="s">
        <v>55</v>
      </c>
      <c r="R89" s="16" t="s">
        <v>55</v>
      </c>
      <c r="S89" s="16" t="s">
        <v>55</v>
      </c>
      <c r="T89" s="16" t="s">
        <v>55</v>
      </c>
      <c r="U89" s="16" t="s">
        <v>55</v>
      </c>
      <c r="V89" s="16" t="s">
        <v>127</v>
      </c>
      <c r="W89" s="16"/>
      <c r="X89" s="6"/>
      <c r="Y89" s="6"/>
      <c r="Z89" s="6"/>
    </row>
    <row r="90" ht="15.0" customHeight="1">
      <c r="A90" s="7" t="s">
        <v>685</v>
      </c>
      <c r="B90" s="7" t="s">
        <v>686</v>
      </c>
      <c r="C90" s="7" t="s">
        <v>687</v>
      </c>
      <c r="D90" s="7" t="s">
        <v>46</v>
      </c>
      <c r="E90" s="7" t="s">
        <v>220</v>
      </c>
      <c r="F90" s="7" t="s">
        <v>52</v>
      </c>
      <c r="G90" s="11" t="s">
        <v>55</v>
      </c>
      <c r="H90" s="11" t="s">
        <v>55</v>
      </c>
      <c r="I90" s="11" t="s">
        <v>55</v>
      </c>
      <c r="J90" s="7" t="s">
        <v>55</v>
      </c>
      <c r="K90" s="7"/>
      <c r="L90" s="14" t="str">
        <f t="shared" si="1"/>
        <v>Sim</v>
      </c>
      <c r="M90" s="7"/>
      <c r="N90" s="7"/>
      <c r="O90" s="7" t="s">
        <v>55</v>
      </c>
      <c r="P90" s="7"/>
      <c r="Q90" s="16" t="s">
        <v>55</v>
      </c>
      <c r="R90" s="16" t="s">
        <v>55</v>
      </c>
      <c r="S90" s="16" t="s">
        <v>55</v>
      </c>
      <c r="T90" s="16" t="s">
        <v>55</v>
      </c>
      <c r="U90" s="16" t="s">
        <v>55</v>
      </c>
      <c r="V90" s="16" t="s">
        <v>127</v>
      </c>
      <c r="W90" s="16"/>
      <c r="X90" s="6"/>
      <c r="Y90" s="6"/>
      <c r="Z90" s="6"/>
    </row>
    <row r="91" ht="15.0" customHeight="1">
      <c r="A91" s="7" t="s">
        <v>688</v>
      </c>
      <c r="B91" s="7" t="s">
        <v>689</v>
      </c>
      <c r="C91" s="7" t="s">
        <v>690</v>
      </c>
      <c r="D91" s="7" t="s">
        <v>46</v>
      </c>
      <c r="E91" s="7" t="s">
        <v>315</v>
      </c>
      <c r="F91" s="7" t="s">
        <v>52</v>
      </c>
      <c r="G91" s="11" t="s">
        <v>55</v>
      </c>
      <c r="H91" s="11" t="s">
        <v>55</v>
      </c>
      <c r="I91" s="11" t="s">
        <v>55</v>
      </c>
      <c r="J91" s="7" t="s">
        <v>55</v>
      </c>
      <c r="K91" s="7"/>
      <c r="L91" s="14" t="str">
        <f t="shared" si="1"/>
        <v>Sim</v>
      </c>
      <c r="M91" s="7"/>
      <c r="N91" s="7"/>
      <c r="O91" s="7" t="s">
        <v>55</v>
      </c>
      <c r="P91" s="7"/>
      <c r="Q91" s="16" t="s">
        <v>55</v>
      </c>
      <c r="R91" s="16" t="s">
        <v>55</v>
      </c>
      <c r="S91" s="16" t="s">
        <v>55</v>
      </c>
      <c r="T91" s="16" t="s">
        <v>55</v>
      </c>
      <c r="U91" s="16" t="s">
        <v>55</v>
      </c>
      <c r="V91" s="16" t="s">
        <v>184</v>
      </c>
      <c r="W91" s="16"/>
      <c r="X91" s="6"/>
      <c r="Y91" s="6"/>
      <c r="Z91" s="6"/>
    </row>
    <row r="92" ht="15.0" customHeight="1">
      <c r="A92" s="7" t="s">
        <v>694</v>
      </c>
      <c r="B92" s="7" t="s">
        <v>695</v>
      </c>
      <c r="C92" s="7" t="s">
        <v>696</v>
      </c>
      <c r="D92" s="7" t="s">
        <v>46</v>
      </c>
      <c r="E92" s="7" t="s">
        <v>85</v>
      </c>
      <c r="F92" s="7" t="s">
        <v>52</v>
      </c>
      <c r="G92" s="11" t="s">
        <v>55</v>
      </c>
      <c r="H92" s="11" t="s">
        <v>55</v>
      </c>
      <c r="I92" s="11" t="s">
        <v>55</v>
      </c>
      <c r="J92" s="7" t="s">
        <v>55</v>
      </c>
      <c r="K92" s="7"/>
      <c r="L92" s="14" t="str">
        <f t="shared" si="1"/>
        <v>Sim</v>
      </c>
      <c r="M92" s="7"/>
      <c r="N92" s="7"/>
      <c r="O92" s="7" t="s">
        <v>55</v>
      </c>
      <c r="P92" s="7"/>
      <c r="Q92" s="16" t="s">
        <v>55</v>
      </c>
      <c r="R92" s="16" t="s">
        <v>55</v>
      </c>
      <c r="S92" s="16" t="s">
        <v>55</v>
      </c>
      <c r="T92" s="16" t="s">
        <v>55</v>
      </c>
      <c r="U92" s="16" t="s">
        <v>55</v>
      </c>
      <c r="V92" s="16" t="s">
        <v>127</v>
      </c>
      <c r="W92" s="16"/>
      <c r="X92" s="6"/>
      <c r="Y92" s="6"/>
      <c r="Z92" s="6"/>
    </row>
    <row r="93" ht="15.0" customHeight="1">
      <c r="A93" s="7" t="s">
        <v>699</v>
      </c>
      <c r="B93" s="7" t="s">
        <v>700</v>
      </c>
      <c r="C93" s="7" t="s">
        <v>701</v>
      </c>
      <c r="D93" s="7" t="s">
        <v>46</v>
      </c>
      <c r="E93" s="7" t="s">
        <v>138</v>
      </c>
      <c r="F93" s="7" t="s">
        <v>52</v>
      </c>
      <c r="G93" s="11" t="s">
        <v>55</v>
      </c>
      <c r="H93" s="11" t="s">
        <v>55</v>
      </c>
      <c r="I93" s="11" t="s">
        <v>55</v>
      </c>
      <c r="J93" s="7" t="s">
        <v>55</v>
      </c>
      <c r="K93" s="7"/>
      <c r="L93" s="14" t="str">
        <f t="shared" si="1"/>
        <v>Sim</v>
      </c>
      <c r="M93" s="7"/>
      <c r="N93" s="7"/>
      <c r="O93" s="7" t="s">
        <v>55</v>
      </c>
      <c r="P93" s="7"/>
      <c r="Q93" s="16" t="s">
        <v>55</v>
      </c>
      <c r="R93" s="16" t="s">
        <v>55</v>
      </c>
      <c r="S93" s="16" t="s">
        <v>55</v>
      </c>
      <c r="T93" s="16" t="s">
        <v>55</v>
      </c>
      <c r="U93" s="16" t="s">
        <v>55</v>
      </c>
      <c r="V93" s="16" t="s">
        <v>127</v>
      </c>
      <c r="W93" s="16"/>
      <c r="X93" s="6"/>
      <c r="Y93" s="6"/>
      <c r="Z93" s="6"/>
    </row>
    <row r="94" ht="15.0" customHeight="1">
      <c r="A94" s="7" t="s">
        <v>702</v>
      </c>
      <c r="B94" s="7" t="s">
        <v>703</v>
      </c>
      <c r="C94" s="7" t="s">
        <v>704</v>
      </c>
      <c r="D94" s="7" t="s">
        <v>46</v>
      </c>
      <c r="E94" s="7" t="s">
        <v>213</v>
      </c>
      <c r="F94" s="7" t="s">
        <v>52</v>
      </c>
      <c r="G94" s="11" t="s">
        <v>55</v>
      </c>
      <c r="H94" s="11" t="s">
        <v>55</v>
      </c>
      <c r="I94" s="11" t="s">
        <v>55</v>
      </c>
      <c r="J94" s="7" t="s">
        <v>55</v>
      </c>
      <c r="K94" s="7"/>
      <c r="L94" s="14" t="str">
        <f t="shared" si="1"/>
        <v>Sim</v>
      </c>
      <c r="M94" s="7"/>
      <c r="N94" s="7"/>
      <c r="O94" s="7" t="s">
        <v>55</v>
      </c>
      <c r="P94" s="7"/>
      <c r="Q94" s="16" t="s">
        <v>55</v>
      </c>
      <c r="R94" s="16" t="s">
        <v>55</v>
      </c>
      <c r="S94" s="16" t="s">
        <v>55</v>
      </c>
      <c r="T94" s="16" t="s">
        <v>55</v>
      </c>
      <c r="U94" s="16" t="s">
        <v>55</v>
      </c>
      <c r="V94" s="16" t="s">
        <v>127</v>
      </c>
      <c r="W94" s="16"/>
      <c r="X94" s="6"/>
      <c r="Y94" s="6"/>
      <c r="Z94" s="6"/>
    </row>
    <row r="95" ht="15.0" customHeight="1">
      <c r="A95" s="7" t="s">
        <v>706</v>
      </c>
      <c r="B95" s="7" t="s">
        <v>707</v>
      </c>
      <c r="C95" s="7" t="s">
        <v>708</v>
      </c>
      <c r="D95" s="7" t="s">
        <v>46</v>
      </c>
      <c r="E95" s="7" t="s">
        <v>259</v>
      </c>
      <c r="F95" s="7" t="s">
        <v>52</v>
      </c>
      <c r="G95" s="11" t="s">
        <v>55</v>
      </c>
      <c r="H95" s="11" t="s">
        <v>55</v>
      </c>
      <c r="I95" s="11" t="s">
        <v>55</v>
      </c>
      <c r="J95" s="7" t="s">
        <v>55</v>
      </c>
      <c r="K95" s="11" t="s">
        <v>709</v>
      </c>
      <c r="L95" s="14" t="str">
        <f t="shared" si="1"/>
        <v>Não</v>
      </c>
      <c r="M95" s="7"/>
      <c r="N95" s="7"/>
      <c r="O95" s="7" t="s">
        <v>55</v>
      </c>
      <c r="P95" s="7"/>
      <c r="Q95" s="16" t="s">
        <v>55</v>
      </c>
      <c r="R95" s="16" t="s">
        <v>55</v>
      </c>
      <c r="S95" s="16" t="s">
        <v>55</v>
      </c>
      <c r="T95" s="16" t="s">
        <v>55</v>
      </c>
      <c r="U95" s="16" t="s">
        <v>55</v>
      </c>
      <c r="V95" s="16" t="s">
        <v>127</v>
      </c>
      <c r="W95" s="16" t="s">
        <v>710</v>
      </c>
      <c r="X95" s="6"/>
      <c r="Y95" s="6"/>
      <c r="Z95" s="6"/>
    </row>
    <row r="96" ht="15.0" customHeight="1">
      <c r="A96" s="7" t="s">
        <v>711</v>
      </c>
      <c r="B96" s="7" t="s">
        <v>712</v>
      </c>
      <c r="C96" s="7" t="s">
        <v>713</v>
      </c>
      <c r="D96" s="7" t="s">
        <v>46</v>
      </c>
      <c r="E96" s="7" t="s">
        <v>259</v>
      </c>
      <c r="F96" s="7" t="s">
        <v>52</v>
      </c>
      <c r="G96" s="11" t="s">
        <v>55</v>
      </c>
      <c r="H96" s="11" t="s">
        <v>55</v>
      </c>
      <c r="I96" s="11" t="s">
        <v>55</v>
      </c>
      <c r="J96" s="7" t="s">
        <v>55</v>
      </c>
      <c r="K96" s="11" t="s">
        <v>714</v>
      </c>
      <c r="L96" s="14" t="str">
        <f t="shared" si="1"/>
        <v>Não</v>
      </c>
      <c r="M96" s="7"/>
      <c r="N96" s="7"/>
      <c r="O96" s="7" t="s">
        <v>55</v>
      </c>
      <c r="P96" s="7"/>
      <c r="Q96" s="16" t="s">
        <v>55</v>
      </c>
      <c r="R96" s="16" t="s">
        <v>55</v>
      </c>
      <c r="S96" s="16" t="s">
        <v>55</v>
      </c>
      <c r="T96" s="16" t="s">
        <v>55</v>
      </c>
      <c r="U96" s="16" t="s">
        <v>55</v>
      </c>
      <c r="V96" s="16" t="s">
        <v>127</v>
      </c>
      <c r="W96" s="16" t="s">
        <v>715</v>
      </c>
      <c r="X96" s="6"/>
      <c r="Y96" s="6"/>
      <c r="Z96" s="6"/>
    </row>
    <row r="97" ht="15.0" customHeight="1">
      <c r="A97" s="7" t="s">
        <v>716</v>
      </c>
      <c r="B97" s="7" t="s">
        <v>717</v>
      </c>
      <c r="C97" s="7" t="s">
        <v>718</v>
      </c>
      <c r="D97" s="7" t="s">
        <v>46</v>
      </c>
      <c r="E97" s="7" t="s">
        <v>220</v>
      </c>
      <c r="F97" s="7" t="s">
        <v>52</v>
      </c>
      <c r="G97" s="11" t="s">
        <v>55</v>
      </c>
      <c r="H97" s="11" t="s">
        <v>55</v>
      </c>
      <c r="I97" s="11" t="s">
        <v>55</v>
      </c>
      <c r="J97" s="7" t="s">
        <v>55</v>
      </c>
      <c r="K97" s="7"/>
      <c r="L97" s="14" t="str">
        <f t="shared" si="1"/>
        <v>Sim</v>
      </c>
      <c r="M97" s="7"/>
      <c r="N97" s="7"/>
      <c r="O97" s="7" t="s">
        <v>55</v>
      </c>
      <c r="P97" s="7"/>
      <c r="Q97" s="16" t="s">
        <v>55</v>
      </c>
      <c r="R97" s="16" t="s">
        <v>55</v>
      </c>
      <c r="S97" s="16" t="s">
        <v>55</v>
      </c>
      <c r="T97" s="16" t="s">
        <v>55</v>
      </c>
      <c r="U97" s="16" t="s">
        <v>55</v>
      </c>
      <c r="V97" s="16" t="s">
        <v>127</v>
      </c>
      <c r="W97" s="16"/>
      <c r="X97" s="6"/>
      <c r="Y97" s="6"/>
      <c r="Z97" s="6"/>
    </row>
    <row r="98" ht="15.0" customHeight="1">
      <c r="A98" s="7" t="s">
        <v>719</v>
      </c>
      <c r="B98" s="7" t="s">
        <v>720</v>
      </c>
      <c r="C98" s="7" t="s">
        <v>721</v>
      </c>
      <c r="D98" s="7" t="s">
        <v>46</v>
      </c>
      <c r="E98" s="7" t="s">
        <v>220</v>
      </c>
      <c r="F98" s="7" t="s">
        <v>52</v>
      </c>
      <c r="G98" s="11" t="s">
        <v>55</v>
      </c>
      <c r="H98" s="11" t="s">
        <v>55</v>
      </c>
      <c r="I98" s="11" t="s">
        <v>55</v>
      </c>
      <c r="J98" s="7" t="s">
        <v>55</v>
      </c>
      <c r="K98" s="7"/>
      <c r="L98" s="14" t="str">
        <f t="shared" si="1"/>
        <v>Sim</v>
      </c>
      <c r="M98" s="7"/>
      <c r="N98" s="7"/>
      <c r="O98" s="7" t="s">
        <v>55</v>
      </c>
      <c r="P98" s="7"/>
      <c r="Q98" s="16" t="s">
        <v>55</v>
      </c>
      <c r="R98" s="16" t="s">
        <v>55</v>
      </c>
      <c r="S98" s="16" t="s">
        <v>55</v>
      </c>
      <c r="T98" s="16" t="s">
        <v>55</v>
      </c>
      <c r="U98" s="16" t="s">
        <v>55</v>
      </c>
      <c r="V98" s="16" t="s">
        <v>127</v>
      </c>
      <c r="W98" s="16"/>
      <c r="X98" s="6"/>
      <c r="Y98" s="6"/>
      <c r="Z98" s="6"/>
    </row>
    <row r="99" ht="15.0" customHeight="1">
      <c r="A99" s="7" t="s">
        <v>722</v>
      </c>
      <c r="B99" s="7" t="s">
        <v>723</v>
      </c>
      <c r="C99" s="7" t="s">
        <v>724</v>
      </c>
      <c r="D99" s="7" t="s">
        <v>46</v>
      </c>
      <c r="E99" s="7" t="s">
        <v>138</v>
      </c>
      <c r="F99" s="7" t="s">
        <v>52</v>
      </c>
      <c r="G99" s="11" t="s">
        <v>55</v>
      </c>
      <c r="H99" s="11" t="s">
        <v>55</v>
      </c>
      <c r="I99" s="11" t="s">
        <v>55</v>
      </c>
      <c r="J99" s="7" t="s">
        <v>55</v>
      </c>
      <c r="K99" s="7"/>
      <c r="L99" s="14" t="str">
        <f t="shared" si="1"/>
        <v>Sim</v>
      </c>
      <c r="M99" s="7"/>
      <c r="N99" s="7"/>
      <c r="O99" s="7" t="s">
        <v>55</v>
      </c>
      <c r="P99" s="7"/>
      <c r="Q99" s="16" t="s">
        <v>55</v>
      </c>
      <c r="R99" s="16" t="s">
        <v>55</v>
      </c>
      <c r="S99" s="16" t="s">
        <v>55</v>
      </c>
      <c r="T99" s="16" t="s">
        <v>55</v>
      </c>
      <c r="U99" s="16" t="s">
        <v>55</v>
      </c>
      <c r="V99" s="16" t="s">
        <v>127</v>
      </c>
      <c r="W99" s="16"/>
      <c r="X99" s="6"/>
      <c r="Y99" s="6"/>
      <c r="Z99" s="6"/>
    </row>
    <row r="100" ht="15.0" customHeight="1">
      <c r="A100" s="7" t="s">
        <v>725</v>
      </c>
      <c r="B100" s="7" t="s">
        <v>726</v>
      </c>
      <c r="C100" s="7" t="s">
        <v>727</v>
      </c>
      <c r="D100" s="7" t="s">
        <v>46</v>
      </c>
      <c r="E100" s="7" t="s">
        <v>138</v>
      </c>
      <c r="F100" s="7" t="s">
        <v>52</v>
      </c>
      <c r="G100" s="11" t="s">
        <v>55</v>
      </c>
      <c r="H100" s="11" t="s">
        <v>55</v>
      </c>
      <c r="I100" s="11" t="s">
        <v>55</v>
      </c>
      <c r="J100" s="7" t="s">
        <v>55</v>
      </c>
      <c r="K100" s="11" t="s">
        <v>728</v>
      </c>
      <c r="L100" s="14" t="str">
        <f t="shared" si="1"/>
        <v>Não</v>
      </c>
      <c r="M100" s="7"/>
      <c r="N100" s="7"/>
      <c r="O100" s="7" t="s">
        <v>55</v>
      </c>
      <c r="P100" s="7"/>
      <c r="Q100" s="16" t="s">
        <v>55</v>
      </c>
      <c r="R100" s="16" t="s">
        <v>55</v>
      </c>
      <c r="S100" s="16" t="s">
        <v>55</v>
      </c>
      <c r="T100" s="16" t="s">
        <v>55</v>
      </c>
      <c r="U100" s="16" t="s">
        <v>55</v>
      </c>
      <c r="V100" s="16" t="s">
        <v>127</v>
      </c>
      <c r="W100" s="16" t="s">
        <v>729</v>
      </c>
      <c r="X100" s="6"/>
      <c r="Y100" s="6"/>
      <c r="Z100" s="6"/>
    </row>
    <row r="101" ht="15.0" customHeight="1">
      <c r="A101" s="7" t="s">
        <v>730</v>
      </c>
      <c r="B101" s="7" t="s">
        <v>731</v>
      </c>
      <c r="C101" s="7" t="s">
        <v>732</v>
      </c>
      <c r="D101" s="7" t="s">
        <v>46</v>
      </c>
      <c r="E101" s="7" t="s">
        <v>138</v>
      </c>
      <c r="F101" s="7" t="s">
        <v>52</v>
      </c>
      <c r="G101" s="11" t="s">
        <v>57</v>
      </c>
      <c r="H101" s="11" t="s">
        <v>55</v>
      </c>
      <c r="I101" s="11" t="s">
        <v>55</v>
      </c>
      <c r="J101" s="7" t="s">
        <v>55</v>
      </c>
      <c r="K101" s="7"/>
      <c r="L101" s="14" t="str">
        <f t="shared" si="1"/>
        <v>Não</v>
      </c>
      <c r="M101" s="7"/>
      <c r="N101" s="7"/>
      <c r="O101" s="7" t="s">
        <v>55</v>
      </c>
      <c r="P101" s="7"/>
      <c r="Q101" s="16" t="s">
        <v>57</v>
      </c>
      <c r="R101" s="16" t="s">
        <v>55</v>
      </c>
      <c r="S101" s="16" t="s">
        <v>55</v>
      </c>
      <c r="T101" s="16" t="s">
        <v>55</v>
      </c>
      <c r="U101" s="16" t="s">
        <v>57</v>
      </c>
      <c r="V101" s="16" t="s">
        <v>225</v>
      </c>
      <c r="W101" s="16"/>
      <c r="X101" s="6"/>
      <c r="Y101" s="6"/>
      <c r="Z101" s="6"/>
    </row>
    <row r="102" ht="15.0" customHeight="1">
      <c r="A102" s="7" t="s">
        <v>733</v>
      </c>
      <c r="B102" s="7" t="s">
        <v>734</v>
      </c>
      <c r="C102" s="7" t="s">
        <v>735</v>
      </c>
      <c r="D102" s="7" t="s">
        <v>46</v>
      </c>
      <c r="E102" s="7" t="s">
        <v>259</v>
      </c>
      <c r="F102" s="7" t="s">
        <v>52</v>
      </c>
      <c r="G102" s="11" t="s">
        <v>55</v>
      </c>
      <c r="H102" s="11" t="s">
        <v>55</v>
      </c>
      <c r="I102" s="11" t="s">
        <v>55</v>
      </c>
      <c r="J102" s="7" t="s">
        <v>55</v>
      </c>
      <c r="K102" s="7"/>
      <c r="L102" s="14" t="str">
        <f t="shared" si="1"/>
        <v>Sim</v>
      </c>
      <c r="M102" s="7"/>
      <c r="N102" s="7"/>
      <c r="O102" s="7" t="s">
        <v>55</v>
      </c>
      <c r="P102" s="7"/>
      <c r="Q102" s="16" t="s">
        <v>55</v>
      </c>
      <c r="R102" s="16" t="s">
        <v>55</v>
      </c>
      <c r="S102" s="16" t="s">
        <v>55</v>
      </c>
      <c r="T102" s="16" t="s">
        <v>55</v>
      </c>
      <c r="U102" s="16" t="s">
        <v>55</v>
      </c>
      <c r="V102" s="16" t="s">
        <v>127</v>
      </c>
      <c r="W102" s="16"/>
      <c r="X102" s="6"/>
      <c r="Y102" s="6"/>
      <c r="Z102" s="6"/>
    </row>
    <row r="103" ht="15.0" customHeight="1">
      <c r="A103" s="7" t="s">
        <v>736</v>
      </c>
      <c r="B103" s="7" t="s">
        <v>737</v>
      </c>
      <c r="C103" s="7" t="s">
        <v>738</v>
      </c>
      <c r="D103" s="7" t="s">
        <v>46</v>
      </c>
      <c r="E103" s="7" t="s">
        <v>138</v>
      </c>
      <c r="F103" s="7" t="s">
        <v>52</v>
      </c>
      <c r="G103" s="11" t="s">
        <v>55</v>
      </c>
      <c r="H103" s="11" t="s">
        <v>55</v>
      </c>
      <c r="I103" s="11" t="s">
        <v>55</v>
      </c>
      <c r="J103" s="7" t="s">
        <v>55</v>
      </c>
      <c r="K103" s="11" t="s">
        <v>739</v>
      </c>
      <c r="L103" s="14" t="str">
        <f t="shared" si="1"/>
        <v>Não</v>
      </c>
      <c r="M103" s="7"/>
      <c r="N103" s="7"/>
      <c r="O103" s="7" t="s">
        <v>55</v>
      </c>
      <c r="P103" s="7"/>
      <c r="Q103" s="16" t="s">
        <v>55</v>
      </c>
      <c r="R103" s="16" t="s">
        <v>55</v>
      </c>
      <c r="S103" s="16" t="s">
        <v>55</v>
      </c>
      <c r="T103" s="16" t="s">
        <v>55</v>
      </c>
      <c r="U103" s="16" t="s">
        <v>55</v>
      </c>
      <c r="V103" s="16" t="s">
        <v>127</v>
      </c>
      <c r="W103" s="16" t="s">
        <v>740</v>
      </c>
      <c r="X103" s="6"/>
      <c r="Y103" s="6"/>
      <c r="Z103" s="6"/>
    </row>
    <row r="104" ht="28.5" customHeight="1">
      <c r="A104" s="7" t="s">
        <v>742</v>
      </c>
      <c r="B104" s="7" t="s">
        <v>743</v>
      </c>
      <c r="C104" s="7" t="s">
        <v>745</v>
      </c>
      <c r="D104" s="7" t="s">
        <v>46</v>
      </c>
      <c r="E104" s="7" t="s">
        <v>138</v>
      </c>
      <c r="F104" s="7" t="s">
        <v>52</v>
      </c>
      <c r="G104" s="11" t="s">
        <v>55</v>
      </c>
      <c r="H104" s="11" t="s">
        <v>55</v>
      </c>
      <c r="I104" s="11" t="s">
        <v>55</v>
      </c>
      <c r="J104" s="7" t="s">
        <v>55</v>
      </c>
      <c r="K104" s="11" t="s">
        <v>747</v>
      </c>
      <c r="L104" s="14" t="str">
        <f t="shared" si="1"/>
        <v>Não</v>
      </c>
      <c r="M104" s="7"/>
      <c r="N104" s="7"/>
      <c r="O104" s="7" t="s">
        <v>55</v>
      </c>
      <c r="P104" s="7"/>
      <c r="Q104" s="16" t="s">
        <v>55</v>
      </c>
      <c r="R104" s="16" t="s">
        <v>55</v>
      </c>
      <c r="S104" s="16" t="s">
        <v>55</v>
      </c>
      <c r="T104" s="16" t="s">
        <v>55</v>
      </c>
      <c r="U104" s="16" t="s">
        <v>55</v>
      </c>
      <c r="V104" s="16" t="s">
        <v>127</v>
      </c>
      <c r="W104" s="16" t="s">
        <v>748</v>
      </c>
      <c r="X104" s="6"/>
      <c r="Y104" s="6"/>
      <c r="Z104" s="6"/>
    </row>
    <row r="105" ht="15.0" customHeight="1">
      <c r="A105" s="7" t="s">
        <v>749</v>
      </c>
      <c r="B105" s="7" t="s">
        <v>750</v>
      </c>
      <c r="C105" s="7" t="s">
        <v>751</v>
      </c>
      <c r="D105" s="7" t="s">
        <v>46</v>
      </c>
      <c r="E105" s="7" t="s">
        <v>85</v>
      </c>
      <c r="F105" s="7" t="s">
        <v>52</v>
      </c>
      <c r="G105" s="11" t="s">
        <v>55</v>
      </c>
      <c r="H105" s="11" t="s">
        <v>55</v>
      </c>
      <c r="I105" s="11" t="s">
        <v>55</v>
      </c>
      <c r="J105" s="7" t="s">
        <v>55</v>
      </c>
      <c r="K105" s="11" t="s">
        <v>752</v>
      </c>
      <c r="L105" s="14" t="str">
        <f t="shared" si="1"/>
        <v>Não</v>
      </c>
      <c r="M105" s="7"/>
      <c r="N105" s="7"/>
      <c r="O105" s="7" t="s">
        <v>55</v>
      </c>
      <c r="P105" s="7"/>
      <c r="Q105" s="16" t="s">
        <v>55</v>
      </c>
      <c r="R105" s="16" t="s">
        <v>55</v>
      </c>
      <c r="S105" s="16" t="s">
        <v>55</v>
      </c>
      <c r="T105" s="16" t="s">
        <v>55</v>
      </c>
      <c r="U105" s="16" t="s">
        <v>55</v>
      </c>
      <c r="V105" s="16" t="s">
        <v>127</v>
      </c>
      <c r="W105" s="16" t="s">
        <v>753</v>
      </c>
      <c r="X105" s="6"/>
      <c r="Y105" s="6"/>
      <c r="Z105" s="6"/>
    </row>
    <row r="106" ht="15.0" customHeight="1">
      <c r="A106" s="7" t="s">
        <v>755</v>
      </c>
      <c r="B106" s="7" t="s">
        <v>756</v>
      </c>
      <c r="C106" s="7" t="s">
        <v>757</v>
      </c>
      <c r="D106" s="7" t="s">
        <v>46</v>
      </c>
      <c r="E106" s="7" t="s">
        <v>180</v>
      </c>
      <c r="F106" s="7" t="s">
        <v>52</v>
      </c>
      <c r="G106" s="11" t="s">
        <v>55</v>
      </c>
      <c r="H106" s="11" t="s">
        <v>55</v>
      </c>
      <c r="I106" s="11" t="s">
        <v>55</v>
      </c>
      <c r="J106" s="7" t="s">
        <v>55</v>
      </c>
      <c r="K106" s="7"/>
      <c r="L106" s="14" t="str">
        <f t="shared" si="1"/>
        <v>Sim</v>
      </c>
      <c r="M106" s="7"/>
      <c r="N106" s="7"/>
      <c r="O106" s="7" t="s">
        <v>55</v>
      </c>
      <c r="P106" s="7"/>
      <c r="Q106" s="16" t="s">
        <v>55</v>
      </c>
      <c r="R106" s="16" t="s">
        <v>55</v>
      </c>
      <c r="S106" s="16" t="s">
        <v>55</v>
      </c>
      <c r="T106" s="16" t="s">
        <v>55</v>
      </c>
      <c r="U106" s="16" t="s">
        <v>55</v>
      </c>
      <c r="V106" s="16" t="s">
        <v>127</v>
      </c>
      <c r="W106" s="16"/>
      <c r="X106" s="6"/>
      <c r="Y106" s="6"/>
      <c r="Z106" s="6"/>
    </row>
    <row r="107" ht="15.0" customHeight="1">
      <c r="A107" s="7" t="s">
        <v>762</v>
      </c>
      <c r="B107" s="7" t="s">
        <v>763</v>
      </c>
      <c r="C107" s="7" t="s">
        <v>764</v>
      </c>
      <c r="D107" s="7" t="s">
        <v>46</v>
      </c>
      <c r="E107" s="7" t="s">
        <v>138</v>
      </c>
      <c r="F107" s="7" t="s">
        <v>52</v>
      </c>
      <c r="G107" s="11" t="s">
        <v>55</v>
      </c>
      <c r="H107" s="11" t="s">
        <v>55</v>
      </c>
      <c r="I107" s="11" t="s">
        <v>55</v>
      </c>
      <c r="J107" s="7" t="s">
        <v>55</v>
      </c>
      <c r="K107" s="11" t="s">
        <v>765</v>
      </c>
      <c r="L107" s="14" t="str">
        <f t="shared" si="1"/>
        <v>Não</v>
      </c>
      <c r="M107" s="7"/>
      <c r="N107" s="7"/>
      <c r="O107" s="7" t="s">
        <v>55</v>
      </c>
      <c r="P107" s="7"/>
      <c r="Q107" s="16" t="s">
        <v>55</v>
      </c>
      <c r="R107" s="16" t="s">
        <v>55</v>
      </c>
      <c r="S107" s="16" t="s">
        <v>55</v>
      </c>
      <c r="T107" s="16" t="s">
        <v>55</v>
      </c>
      <c r="U107" s="16" t="s">
        <v>55</v>
      </c>
      <c r="V107" s="16" t="s">
        <v>127</v>
      </c>
      <c r="W107" s="16" t="s">
        <v>766</v>
      </c>
      <c r="X107" s="6"/>
      <c r="Y107" s="6"/>
      <c r="Z107" s="6"/>
    </row>
    <row r="108" ht="15.0" customHeight="1">
      <c r="A108" s="7" t="s">
        <v>767</v>
      </c>
      <c r="B108" s="7" t="s">
        <v>768</v>
      </c>
      <c r="C108" s="7" t="s">
        <v>770</v>
      </c>
      <c r="D108" s="7" t="s">
        <v>46</v>
      </c>
      <c r="E108" s="7" t="s">
        <v>138</v>
      </c>
      <c r="F108" s="7" t="s">
        <v>52</v>
      </c>
      <c r="G108" s="11" t="s">
        <v>55</v>
      </c>
      <c r="H108" s="11" t="s">
        <v>55</v>
      </c>
      <c r="I108" s="11" t="s">
        <v>55</v>
      </c>
      <c r="J108" s="7" t="s">
        <v>55</v>
      </c>
      <c r="K108" s="11" t="s">
        <v>771</v>
      </c>
      <c r="L108" s="14" t="str">
        <f t="shared" si="1"/>
        <v>Não</v>
      </c>
      <c r="M108" s="7"/>
      <c r="N108" s="7"/>
      <c r="O108" s="7" t="s">
        <v>55</v>
      </c>
      <c r="P108" s="7"/>
      <c r="Q108" s="16" t="s">
        <v>55</v>
      </c>
      <c r="R108" s="16" t="s">
        <v>55</v>
      </c>
      <c r="S108" s="16" t="s">
        <v>55</v>
      </c>
      <c r="T108" s="16" t="s">
        <v>55</v>
      </c>
      <c r="U108" s="16" t="s">
        <v>55</v>
      </c>
      <c r="V108" s="16" t="s">
        <v>127</v>
      </c>
      <c r="W108" s="16" t="s">
        <v>772</v>
      </c>
      <c r="X108" s="6"/>
      <c r="Y108" s="6"/>
      <c r="Z108" s="6"/>
    </row>
    <row r="109" ht="15.0" customHeight="1">
      <c r="A109" s="7" t="s">
        <v>773</v>
      </c>
      <c r="B109" s="7" t="s">
        <v>774</v>
      </c>
      <c r="C109" s="7" t="s">
        <v>775</v>
      </c>
      <c r="D109" s="7" t="s">
        <v>46</v>
      </c>
      <c r="E109" s="7" t="s">
        <v>213</v>
      </c>
      <c r="F109" s="7" t="s">
        <v>52</v>
      </c>
      <c r="G109" s="11" t="s">
        <v>55</v>
      </c>
      <c r="H109" s="11" t="s">
        <v>55</v>
      </c>
      <c r="I109" s="11" t="s">
        <v>55</v>
      </c>
      <c r="J109" s="7" t="s">
        <v>55</v>
      </c>
      <c r="K109" s="11" t="s">
        <v>776</v>
      </c>
      <c r="L109" s="14" t="str">
        <f t="shared" si="1"/>
        <v>Não</v>
      </c>
      <c r="M109" s="7"/>
      <c r="N109" s="7"/>
      <c r="O109" s="7" t="s">
        <v>55</v>
      </c>
      <c r="P109" s="7"/>
      <c r="Q109" s="16" t="s">
        <v>55</v>
      </c>
      <c r="R109" s="16" t="s">
        <v>55</v>
      </c>
      <c r="S109" s="16" t="s">
        <v>55</v>
      </c>
      <c r="T109" s="16" t="s">
        <v>55</v>
      </c>
      <c r="U109" s="16" t="s">
        <v>55</v>
      </c>
      <c r="V109" s="16" t="s">
        <v>127</v>
      </c>
      <c r="W109" s="16" t="s">
        <v>777</v>
      </c>
      <c r="X109" s="6"/>
      <c r="Y109" s="6"/>
      <c r="Z109" s="6"/>
    </row>
    <row r="110" ht="15.0" customHeight="1">
      <c r="A110" s="7" t="s">
        <v>778</v>
      </c>
      <c r="B110" s="7" t="s">
        <v>779</v>
      </c>
      <c r="C110" s="7" t="s">
        <v>780</v>
      </c>
      <c r="D110" s="7" t="s">
        <v>46</v>
      </c>
      <c r="E110" s="7" t="s">
        <v>107</v>
      </c>
      <c r="F110" s="7" t="s">
        <v>52</v>
      </c>
      <c r="G110" s="11" t="s">
        <v>55</v>
      </c>
      <c r="H110" s="11" t="s">
        <v>55</v>
      </c>
      <c r="I110" s="11" t="s">
        <v>55</v>
      </c>
      <c r="J110" s="7" t="s">
        <v>55</v>
      </c>
      <c r="K110" s="7"/>
      <c r="L110" s="14" t="str">
        <f t="shared" si="1"/>
        <v>Sim</v>
      </c>
      <c r="M110" s="7"/>
      <c r="N110" s="7"/>
      <c r="O110" s="7" t="s">
        <v>55</v>
      </c>
      <c r="P110" s="7"/>
      <c r="Q110" s="16" t="s">
        <v>55</v>
      </c>
      <c r="R110" s="16" t="s">
        <v>55</v>
      </c>
      <c r="S110" s="16" t="s">
        <v>55</v>
      </c>
      <c r="T110" s="16" t="s">
        <v>55</v>
      </c>
      <c r="U110" s="16" t="s">
        <v>55</v>
      </c>
      <c r="V110" s="16" t="s">
        <v>127</v>
      </c>
      <c r="W110" s="16"/>
      <c r="X110" s="6"/>
      <c r="Y110" s="6"/>
      <c r="Z110" s="6"/>
    </row>
    <row r="111" ht="15.0" customHeight="1">
      <c r="A111" s="7" t="s">
        <v>781</v>
      </c>
      <c r="B111" s="7" t="s">
        <v>782</v>
      </c>
      <c r="C111" s="7" t="s">
        <v>783</v>
      </c>
      <c r="D111" s="7" t="s">
        <v>46</v>
      </c>
      <c r="E111" s="7" t="s">
        <v>315</v>
      </c>
      <c r="F111" s="7" t="s">
        <v>52</v>
      </c>
      <c r="G111" s="11" t="s">
        <v>55</v>
      </c>
      <c r="H111" s="11" t="s">
        <v>55</v>
      </c>
      <c r="I111" s="11" t="s">
        <v>55</v>
      </c>
      <c r="J111" s="7" t="s">
        <v>55</v>
      </c>
      <c r="K111" s="7"/>
      <c r="L111" s="14" t="str">
        <f t="shared" si="1"/>
        <v>Sim</v>
      </c>
      <c r="M111" s="7"/>
      <c r="N111" s="7"/>
      <c r="O111" s="7" t="s">
        <v>55</v>
      </c>
      <c r="P111" s="7"/>
      <c r="Q111" s="16" t="s">
        <v>55</v>
      </c>
      <c r="R111" s="16" t="s">
        <v>55</v>
      </c>
      <c r="S111" s="16" t="s">
        <v>55</v>
      </c>
      <c r="T111" s="16" t="s">
        <v>55</v>
      </c>
      <c r="U111" s="16" t="s">
        <v>55</v>
      </c>
      <c r="V111" s="16" t="s">
        <v>127</v>
      </c>
      <c r="W111" s="16"/>
      <c r="X111" s="6"/>
      <c r="Y111" s="6"/>
      <c r="Z111" s="6"/>
    </row>
    <row r="112" ht="15.0" customHeight="1">
      <c r="A112" s="7" t="s">
        <v>784</v>
      </c>
      <c r="B112" s="7" t="s">
        <v>785</v>
      </c>
      <c r="C112" s="7" t="s">
        <v>786</v>
      </c>
      <c r="D112" s="7" t="s">
        <v>46</v>
      </c>
      <c r="E112" s="7" t="s">
        <v>213</v>
      </c>
      <c r="F112" s="7" t="s">
        <v>52</v>
      </c>
      <c r="G112" s="11" t="s">
        <v>55</v>
      </c>
      <c r="H112" s="11" t="s">
        <v>55</v>
      </c>
      <c r="I112" s="11" t="s">
        <v>55</v>
      </c>
      <c r="J112" s="7" t="s">
        <v>55</v>
      </c>
      <c r="K112" s="7"/>
      <c r="L112" s="14" t="str">
        <f t="shared" si="1"/>
        <v>Sim</v>
      </c>
      <c r="M112" s="7"/>
      <c r="N112" s="7"/>
      <c r="O112" s="7" t="s">
        <v>55</v>
      </c>
      <c r="P112" s="7"/>
      <c r="Q112" s="16" t="s">
        <v>55</v>
      </c>
      <c r="R112" s="16" t="s">
        <v>55</v>
      </c>
      <c r="S112" s="16" t="s">
        <v>55</v>
      </c>
      <c r="T112" s="16" t="s">
        <v>55</v>
      </c>
      <c r="U112" s="16" t="s">
        <v>55</v>
      </c>
      <c r="V112" s="16" t="s">
        <v>127</v>
      </c>
      <c r="W112" s="16"/>
      <c r="X112" s="6"/>
      <c r="Y112" s="6"/>
      <c r="Z112" s="6"/>
    </row>
    <row r="113" ht="15.0" customHeight="1">
      <c r="A113" s="7" t="s">
        <v>787</v>
      </c>
      <c r="B113" s="7" t="s">
        <v>788</v>
      </c>
      <c r="C113" s="7" t="s">
        <v>789</v>
      </c>
      <c r="D113" s="7" t="s">
        <v>46</v>
      </c>
      <c r="E113" s="7" t="s">
        <v>138</v>
      </c>
      <c r="F113" s="7" t="s">
        <v>52</v>
      </c>
      <c r="G113" s="11" t="s">
        <v>55</v>
      </c>
      <c r="H113" s="11" t="s">
        <v>55</v>
      </c>
      <c r="I113" s="11" t="s">
        <v>55</v>
      </c>
      <c r="J113" s="7" t="s">
        <v>55</v>
      </c>
      <c r="K113" s="7"/>
      <c r="L113" s="14" t="str">
        <f t="shared" si="1"/>
        <v>Sim</v>
      </c>
      <c r="M113" s="7"/>
      <c r="N113" s="7"/>
      <c r="O113" s="7" t="s">
        <v>55</v>
      </c>
      <c r="P113" s="7"/>
      <c r="Q113" s="16" t="s">
        <v>55</v>
      </c>
      <c r="R113" s="16" t="s">
        <v>55</v>
      </c>
      <c r="S113" s="16" t="s">
        <v>55</v>
      </c>
      <c r="T113" s="16" t="s">
        <v>55</v>
      </c>
      <c r="U113" s="16" t="s">
        <v>55</v>
      </c>
      <c r="V113" s="16" t="s">
        <v>184</v>
      </c>
      <c r="W113" s="16"/>
      <c r="X113" s="6"/>
      <c r="Y113" s="6"/>
      <c r="Z113" s="6"/>
    </row>
    <row r="114" ht="15.0" customHeight="1">
      <c r="A114" s="7" t="s">
        <v>790</v>
      </c>
      <c r="B114" s="7" t="s">
        <v>791</v>
      </c>
      <c r="C114" s="7" t="s">
        <v>792</v>
      </c>
      <c r="D114" s="7" t="s">
        <v>46</v>
      </c>
      <c r="E114" s="7" t="s">
        <v>138</v>
      </c>
      <c r="F114" s="7" t="s">
        <v>52</v>
      </c>
      <c r="G114" s="11" t="s">
        <v>55</v>
      </c>
      <c r="H114" s="11" t="s">
        <v>55</v>
      </c>
      <c r="I114" s="11" t="s">
        <v>55</v>
      </c>
      <c r="J114" s="7" t="s">
        <v>55</v>
      </c>
      <c r="K114" s="7"/>
      <c r="L114" s="14" t="str">
        <f t="shared" si="1"/>
        <v>Sim</v>
      </c>
      <c r="M114" s="7"/>
      <c r="N114" s="7"/>
      <c r="O114" s="7" t="s">
        <v>55</v>
      </c>
      <c r="P114" s="7"/>
      <c r="Q114" s="16" t="s">
        <v>55</v>
      </c>
      <c r="R114" s="16" t="s">
        <v>55</v>
      </c>
      <c r="S114" s="16" t="s">
        <v>55</v>
      </c>
      <c r="T114" s="16" t="s">
        <v>55</v>
      </c>
      <c r="U114" s="16" t="s">
        <v>55</v>
      </c>
      <c r="V114" s="16" t="s">
        <v>127</v>
      </c>
      <c r="W114" s="16"/>
      <c r="X114" s="6"/>
      <c r="Y114" s="6"/>
      <c r="Z114" s="6"/>
    </row>
    <row r="115" ht="15.0" customHeight="1">
      <c r="A115" s="7" t="s">
        <v>796</v>
      </c>
      <c r="B115" s="7" t="s">
        <v>797</v>
      </c>
      <c r="C115" s="7" t="s">
        <v>798</v>
      </c>
      <c r="D115" s="7" t="s">
        <v>46</v>
      </c>
      <c r="E115" s="7" t="s">
        <v>286</v>
      </c>
      <c r="F115" s="7" t="s">
        <v>52</v>
      </c>
      <c r="G115" s="11" t="s">
        <v>55</v>
      </c>
      <c r="H115" s="11" t="s">
        <v>55</v>
      </c>
      <c r="I115" s="11" t="s">
        <v>55</v>
      </c>
      <c r="J115" s="7" t="s">
        <v>55</v>
      </c>
      <c r="K115" s="7"/>
      <c r="L115" s="14" t="str">
        <f t="shared" si="1"/>
        <v>Sim</v>
      </c>
      <c r="M115" s="7"/>
      <c r="N115" s="7"/>
      <c r="O115" s="7" t="s">
        <v>55</v>
      </c>
      <c r="P115" s="7"/>
      <c r="Q115" s="16" t="s">
        <v>55</v>
      </c>
      <c r="R115" s="16" t="s">
        <v>55</v>
      </c>
      <c r="S115" s="16" t="s">
        <v>55</v>
      </c>
      <c r="T115" s="16" t="s">
        <v>55</v>
      </c>
      <c r="U115" s="16" t="s">
        <v>55</v>
      </c>
      <c r="V115" s="16" t="s">
        <v>127</v>
      </c>
      <c r="W115" s="16"/>
      <c r="X115" s="6"/>
      <c r="Y115" s="6"/>
      <c r="Z115" s="6"/>
    </row>
    <row r="116" ht="15.0" customHeight="1">
      <c r="A116" s="7" t="s">
        <v>799</v>
      </c>
      <c r="B116" s="7" t="s">
        <v>800</v>
      </c>
      <c r="C116" s="7" t="s">
        <v>801</v>
      </c>
      <c r="D116" s="7" t="s">
        <v>46</v>
      </c>
      <c r="E116" s="7" t="s">
        <v>138</v>
      </c>
      <c r="F116" s="7" t="s">
        <v>52</v>
      </c>
      <c r="G116" s="11" t="s">
        <v>55</v>
      </c>
      <c r="H116" s="11" t="s">
        <v>55</v>
      </c>
      <c r="I116" s="11" t="s">
        <v>55</v>
      </c>
      <c r="J116" s="7" t="s">
        <v>55</v>
      </c>
      <c r="K116" s="7"/>
      <c r="L116" s="14" t="str">
        <f t="shared" si="1"/>
        <v>Sim</v>
      </c>
      <c r="M116" s="7"/>
      <c r="N116" s="7"/>
      <c r="O116" s="7" t="s">
        <v>55</v>
      </c>
      <c r="P116" s="7"/>
      <c r="Q116" s="16" t="s">
        <v>55</v>
      </c>
      <c r="R116" s="16" t="s">
        <v>55</v>
      </c>
      <c r="S116" s="16" t="s">
        <v>55</v>
      </c>
      <c r="T116" s="16" t="s">
        <v>55</v>
      </c>
      <c r="U116" s="16" t="s">
        <v>55</v>
      </c>
      <c r="V116" s="16" t="s">
        <v>127</v>
      </c>
      <c r="W116" s="16"/>
      <c r="X116" s="6"/>
      <c r="Y116" s="6"/>
      <c r="Z116" s="6"/>
    </row>
    <row r="117" ht="15.0" customHeight="1">
      <c r="A117" s="7" t="s">
        <v>804</v>
      </c>
      <c r="B117" s="7" t="s">
        <v>805</v>
      </c>
      <c r="C117" s="7" t="s">
        <v>806</v>
      </c>
      <c r="D117" s="7" t="s">
        <v>46</v>
      </c>
      <c r="E117" s="7" t="s">
        <v>138</v>
      </c>
      <c r="F117" s="7" t="s">
        <v>52</v>
      </c>
      <c r="G117" s="11" t="s">
        <v>55</v>
      </c>
      <c r="H117" s="11" t="s">
        <v>57</v>
      </c>
      <c r="I117" s="11" t="s">
        <v>57</v>
      </c>
      <c r="J117" s="7" t="s">
        <v>55</v>
      </c>
      <c r="K117" s="7"/>
      <c r="L117" s="14" t="str">
        <f t="shared" si="1"/>
        <v>Não</v>
      </c>
      <c r="M117" s="7"/>
      <c r="N117" s="7"/>
      <c r="O117" s="7" t="s">
        <v>55</v>
      </c>
      <c r="P117" s="7"/>
      <c r="Q117" s="16" t="s">
        <v>55</v>
      </c>
      <c r="R117" s="16" t="s">
        <v>57</v>
      </c>
      <c r="S117" s="16" t="s">
        <v>57</v>
      </c>
      <c r="T117" s="16" t="s">
        <v>55</v>
      </c>
      <c r="U117" s="16" t="s">
        <v>57</v>
      </c>
      <c r="V117" s="16" t="s">
        <v>99</v>
      </c>
      <c r="W117" s="16"/>
      <c r="X117" s="6"/>
      <c r="Y117" s="6"/>
      <c r="Z117" s="6"/>
    </row>
    <row r="118" ht="15.0" customHeight="1">
      <c r="A118" s="7" t="s">
        <v>809</v>
      </c>
      <c r="B118" s="7" t="s">
        <v>810</v>
      </c>
      <c r="C118" s="7" t="s">
        <v>811</v>
      </c>
      <c r="D118" s="7" t="s">
        <v>46</v>
      </c>
      <c r="E118" s="7" t="s">
        <v>48</v>
      </c>
      <c r="F118" s="7" t="s">
        <v>52</v>
      </c>
      <c r="G118" s="11" t="s">
        <v>55</v>
      </c>
      <c r="H118" s="11" t="s">
        <v>55</v>
      </c>
      <c r="I118" s="11" t="s">
        <v>55</v>
      </c>
      <c r="J118" s="7" t="s">
        <v>55</v>
      </c>
      <c r="K118" s="11" t="s">
        <v>812</v>
      </c>
      <c r="L118" s="14" t="str">
        <f t="shared" si="1"/>
        <v>Não</v>
      </c>
      <c r="M118" s="7"/>
      <c r="N118" s="7"/>
      <c r="O118" s="7" t="s">
        <v>55</v>
      </c>
      <c r="P118" s="7"/>
      <c r="Q118" s="16" t="s">
        <v>55</v>
      </c>
      <c r="R118" s="16" t="s">
        <v>55</v>
      </c>
      <c r="S118" s="16" t="s">
        <v>55</v>
      </c>
      <c r="T118" s="16" t="s">
        <v>55</v>
      </c>
      <c r="U118" s="16" t="s">
        <v>55</v>
      </c>
      <c r="V118" s="16" t="s">
        <v>127</v>
      </c>
      <c r="W118" s="16" t="s">
        <v>813</v>
      </c>
      <c r="X118" s="6"/>
      <c r="Y118" s="6"/>
      <c r="Z118" s="6"/>
    </row>
    <row r="119" ht="15.0" customHeight="1">
      <c r="A119" s="7" t="s">
        <v>814</v>
      </c>
      <c r="B119" s="7" t="s">
        <v>815</v>
      </c>
      <c r="C119" s="7" t="s">
        <v>816</v>
      </c>
      <c r="D119" s="7" t="s">
        <v>46</v>
      </c>
      <c r="E119" s="7" t="s">
        <v>259</v>
      </c>
      <c r="F119" s="7" t="s">
        <v>52</v>
      </c>
      <c r="G119" s="11" t="s">
        <v>55</v>
      </c>
      <c r="H119" s="11" t="s">
        <v>55</v>
      </c>
      <c r="I119" s="11" t="s">
        <v>55</v>
      </c>
      <c r="J119" s="7" t="s">
        <v>55</v>
      </c>
      <c r="K119" s="7"/>
      <c r="L119" s="14" t="str">
        <f t="shared" si="1"/>
        <v>Sim</v>
      </c>
      <c r="M119" s="11" t="s">
        <v>87</v>
      </c>
      <c r="N119" s="7"/>
      <c r="O119" s="7" t="s">
        <v>55</v>
      </c>
      <c r="P119" s="7"/>
      <c r="Q119" s="16" t="s">
        <v>55</v>
      </c>
      <c r="R119" s="16" t="s">
        <v>55</v>
      </c>
      <c r="S119" s="16" t="s">
        <v>55</v>
      </c>
      <c r="T119" s="16" t="s">
        <v>55</v>
      </c>
      <c r="U119" s="16" t="s">
        <v>55</v>
      </c>
      <c r="V119" s="16" t="s">
        <v>127</v>
      </c>
      <c r="W119" s="16"/>
      <c r="X119" s="6"/>
      <c r="Y119" s="6"/>
      <c r="Z119" s="6"/>
    </row>
    <row r="120" ht="15.0" customHeight="1">
      <c r="A120" s="7" t="s">
        <v>818</v>
      </c>
      <c r="B120" s="7" t="s">
        <v>819</v>
      </c>
      <c r="C120" s="7" t="s">
        <v>820</v>
      </c>
      <c r="D120" s="7" t="s">
        <v>46</v>
      </c>
      <c r="E120" s="7" t="s">
        <v>259</v>
      </c>
      <c r="F120" s="7" t="s">
        <v>52</v>
      </c>
      <c r="G120" s="11" t="s">
        <v>55</v>
      </c>
      <c r="H120" s="11" t="s">
        <v>55</v>
      </c>
      <c r="I120" s="11" t="s">
        <v>55</v>
      </c>
      <c r="J120" s="7" t="s">
        <v>55</v>
      </c>
      <c r="K120" s="7"/>
      <c r="L120" s="14" t="str">
        <f t="shared" si="1"/>
        <v>Sim</v>
      </c>
      <c r="M120" s="11" t="s">
        <v>87</v>
      </c>
      <c r="N120" s="7"/>
      <c r="O120" s="7" t="s">
        <v>55</v>
      </c>
      <c r="P120" s="7"/>
      <c r="Q120" s="16" t="s">
        <v>55</v>
      </c>
      <c r="R120" s="16" t="s">
        <v>55</v>
      </c>
      <c r="S120" s="16" t="s">
        <v>55</v>
      </c>
      <c r="T120" s="16" t="s">
        <v>55</v>
      </c>
      <c r="U120" s="16" t="s">
        <v>55</v>
      </c>
      <c r="V120" s="16" t="s">
        <v>127</v>
      </c>
      <c r="W120" s="16"/>
      <c r="X120" s="6"/>
      <c r="Y120" s="6"/>
      <c r="Z120" s="6"/>
    </row>
    <row r="121" ht="30.0" customHeight="1">
      <c r="A121" s="7" t="s">
        <v>821</v>
      </c>
      <c r="B121" s="7" t="s">
        <v>822</v>
      </c>
      <c r="C121" s="7" t="s">
        <v>823</v>
      </c>
      <c r="D121" s="7" t="s">
        <v>46</v>
      </c>
      <c r="E121" s="7" t="s">
        <v>107</v>
      </c>
      <c r="F121" s="7" t="s">
        <v>52</v>
      </c>
      <c r="G121" s="11" t="s">
        <v>55</v>
      </c>
      <c r="H121" s="11" t="s">
        <v>55</v>
      </c>
      <c r="I121" s="11" t="s">
        <v>55</v>
      </c>
      <c r="J121" s="7" t="s">
        <v>55</v>
      </c>
      <c r="K121" s="11" t="s">
        <v>824</v>
      </c>
      <c r="L121" s="14" t="str">
        <f t="shared" si="1"/>
        <v>Não</v>
      </c>
      <c r="M121" s="7"/>
      <c r="N121" s="7"/>
      <c r="O121" s="7" t="s">
        <v>55</v>
      </c>
      <c r="P121" s="7"/>
      <c r="Q121" s="16" t="s">
        <v>55</v>
      </c>
      <c r="R121" s="16" t="s">
        <v>55</v>
      </c>
      <c r="S121" s="16" t="s">
        <v>55</v>
      </c>
      <c r="T121" s="16" t="s">
        <v>55</v>
      </c>
      <c r="U121" s="16" t="s">
        <v>55</v>
      </c>
      <c r="V121" s="16" t="s">
        <v>127</v>
      </c>
      <c r="W121" s="16" t="s">
        <v>825</v>
      </c>
      <c r="X121" s="6"/>
      <c r="Y121" s="6"/>
      <c r="Z121" s="6"/>
    </row>
    <row r="122" ht="15.0" customHeight="1">
      <c r="A122" s="7" t="s">
        <v>826</v>
      </c>
      <c r="B122" s="7" t="s">
        <v>827</v>
      </c>
      <c r="C122" s="7" t="s">
        <v>828</v>
      </c>
      <c r="D122" s="7" t="s">
        <v>46</v>
      </c>
      <c r="E122" s="7" t="s">
        <v>259</v>
      </c>
      <c r="F122" s="7" t="s">
        <v>52</v>
      </c>
      <c r="G122" s="11" t="s">
        <v>55</v>
      </c>
      <c r="H122" s="11" t="s">
        <v>55</v>
      </c>
      <c r="I122" s="11" t="s">
        <v>55</v>
      </c>
      <c r="J122" s="7" t="s">
        <v>55</v>
      </c>
      <c r="K122" s="7"/>
      <c r="L122" s="14" t="str">
        <f t="shared" si="1"/>
        <v>Sim</v>
      </c>
      <c r="M122" s="7"/>
      <c r="N122" s="7"/>
      <c r="O122" s="7" t="s">
        <v>55</v>
      </c>
      <c r="P122" s="7"/>
      <c r="Q122" s="16" t="s">
        <v>55</v>
      </c>
      <c r="R122" s="16" t="s">
        <v>55</v>
      </c>
      <c r="S122" s="16" t="s">
        <v>55</v>
      </c>
      <c r="T122" s="16" t="s">
        <v>55</v>
      </c>
      <c r="U122" s="16" t="s">
        <v>55</v>
      </c>
      <c r="V122" s="16" t="s">
        <v>127</v>
      </c>
      <c r="W122" s="16"/>
      <c r="X122" s="6"/>
      <c r="Y122" s="6"/>
      <c r="Z122" s="6"/>
    </row>
    <row r="123" ht="15.0" customHeight="1">
      <c r="A123" s="7" t="s">
        <v>829</v>
      </c>
      <c r="B123" s="7" t="s">
        <v>830</v>
      </c>
      <c r="C123" s="7" t="s">
        <v>831</v>
      </c>
      <c r="D123" s="7" t="s">
        <v>46</v>
      </c>
      <c r="E123" s="7" t="s">
        <v>180</v>
      </c>
      <c r="F123" s="7" t="s">
        <v>52</v>
      </c>
      <c r="G123" s="11" t="s">
        <v>55</v>
      </c>
      <c r="H123" s="11" t="s">
        <v>55</v>
      </c>
      <c r="I123" s="11" t="s">
        <v>55</v>
      </c>
      <c r="J123" s="7" t="s">
        <v>55</v>
      </c>
      <c r="K123" s="11" t="s">
        <v>832</v>
      </c>
      <c r="L123" s="14" t="str">
        <f t="shared" si="1"/>
        <v>Não</v>
      </c>
      <c r="M123" s="7"/>
      <c r="N123" s="7"/>
      <c r="O123" s="7" t="s">
        <v>55</v>
      </c>
      <c r="P123" s="7"/>
      <c r="Q123" s="16" t="s">
        <v>55</v>
      </c>
      <c r="R123" s="16" t="s">
        <v>55</v>
      </c>
      <c r="S123" s="16" t="s">
        <v>55</v>
      </c>
      <c r="T123" s="16" t="s">
        <v>55</v>
      </c>
      <c r="U123" s="16" t="s">
        <v>55</v>
      </c>
      <c r="V123" s="16" t="s">
        <v>127</v>
      </c>
      <c r="W123" s="16" t="s">
        <v>833</v>
      </c>
      <c r="X123" s="6"/>
      <c r="Y123" s="6"/>
      <c r="Z123" s="6"/>
    </row>
    <row r="124" ht="26.25" customHeight="1">
      <c r="A124" s="7" t="s">
        <v>834</v>
      </c>
      <c r="B124" s="7" t="s">
        <v>835</v>
      </c>
      <c r="C124" s="7" t="s">
        <v>836</v>
      </c>
      <c r="D124" s="7" t="s">
        <v>46</v>
      </c>
      <c r="E124" s="7" t="s">
        <v>107</v>
      </c>
      <c r="F124" s="7" t="s">
        <v>52</v>
      </c>
      <c r="G124" s="11" t="s">
        <v>55</v>
      </c>
      <c r="H124" s="11" t="s">
        <v>55</v>
      </c>
      <c r="I124" s="11" t="s">
        <v>55</v>
      </c>
      <c r="J124" s="7" t="s">
        <v>55</v>
      </c>
      <c r="K124" s="11" t="s">
        <v>837</v>
      </c>
      <c r="L124" s="14" t="str">
        <f t="shared" si="1"/>
        <v>Não</v>
      </c>
      <c r="M124" s="7"/>
      <c r="N124" s="7"/>
      <c r="O124" s="7" t="s">
        <v>55</v>
      </c>
      <c r="P124" s="7"/>
      <c r="Q124" s="16" t="s">
        <v>55</v>
      </c>
      <c r="R124" s="16" t="s">
        <v>55</v>
      </c>
      <c r="S124" s="16" t="s">
        <v>55</v>
      </c>
      <c r="T124" s="16" t="s">
        <v>55</v>
      </c>
      <c r="U124" s="16" t="s">
        <v>55</v>
      </c>
      <c r="V124" s="16" t="s">
        <v>127</v>
      </c>
      <c r="W124" s="16" t="s">
        <v>838</v>
      </c>
      <c r="X124" s="6"/>
      <c r="Y124" s="6"/>
      <c r="Z124" s="6"/>
    </row>
    <row r="125" ht="15.0" customHeight="1">
      <c r="A125" s="7" t="s">
        <v>839</v>
      </c>
      <c r="B125" s="7" t="s">
        <v>840</v>
      </c>
      <c r="C125" s="7" t="s">
        <v>841</v>
      </c>
      <c r="D125" s="7" t="s">
        <v>46</v>
      </c>
      <c r="E125" s="7" t="s">
        <v>138</v>
      </c>
      <c r="F125" s="7" t="s">
        <v>52</v>
      </c>
      <c r="G125" s="11" t="s">
        <v>55</v>
      </c>
      <c r="H125" s="11" t="s">
        <v>55</v>
      </c>
      <c r="I125" s="11" t="s">
        <v>55</v>
      </c>
      <c r="J125" s="7" t="s">
        <v>55</v>
      </c>
      <c r="K125" s="11" t="s">
        <v>842</v>
      </c>
      <c r="L125" s="14" t="str">
        <f t="shared" si="1"/>
        <v>Não</v>
      </c>
      <c r="M125" s="7"/>
      <c r="N125" s="7"/>
      <c r="O125" s="7" t="s">
        <v>55</v>
      </c>
      <c r="P125" s="7"/>
      <c r="Q125" s="16" t="s">
        <v>55</v>
      </c>
      <c r="R125" s="16" t="s">
        <v>55</v>
      </c>
      <c r="S125" s="16" t="s">
        <v>55</v>
      </c>
      <c r="T125" s="16" t="s">
        <v>55</v>
      </c>
      <c r="U125" s="16" t="s">
        <v>55</v>
      </c>
      <c r="V125" s="16" t="s">
        <v>127</v>
      </c>
      <c r="W125" s="16" t="s">
        <v>843</v>
      </c>
      <c r="X125" s="6"/>
      <c r="Y125" s="6"/>
      <c r="Z125" s="6"/>
    </row>
    <row r="126" ht="15.0" customHeight="1">
      <c r="A126" s="7" t="s">
        <v>844</v>
      </c>
      <c r="B126" s="7" t="s">
        <v>845</v>
      </c>
      <c r="C126" s="7" t="s">
        <v>846</v>
      </c>
      <c r="D126" s="7" t="s">
        <v>46</v>
      </c>
      <c r="E126" s="7" t="s">
        <v>138</v>
      </c>
      <c r="F126" s="7" t="s">
        <v>52</v>
      </c>
      <c r="G126" s="11" t="s">
        <v>55</v>
      </c>
      <c r="H126" s="11" t="s">
        <v>55</v>
      </c>
      <c r="I126" s="11" t="s">
        <v>55</v>
      </c>
      <c r="J126" s="7" t="s">
        <v>55</v>
      </c>
      <c r="K126" s="7"/>
      <c r="L126" s="14" t="str">
        <f t="shared" si="1"/>
        <v>Sim</v>
      </c>
      <c r="M126" s="7"/>
      <c r="N126" s="7"/>
      <c r="O126" s="7" t="s">
        <v>55</v>
      </c>
      <c r="P126" s="7"/>
      <c r="Q126" s="16" t="s">
        <v>55</v>
      </c>
      <c r="R126" s="16" t="s">
        <v>55</v>
      </c>
      <c r="S126" s="16" t="s">
        <v>55</v>
      </c>
      <c r="T126" s="16" t="s">
        <v>55</v>
      </c>
      <c r="U126" s="16" t="s">
        <v>55</v>
      </c>
      <c r="V126" s="16" t="s">
        <v>127</v>
      </c>
      <c r="W126" s="16"/>
      <c r="X126" s="6"/>
      <c r="Y126" s="6"/>
      <c r="Z126" s="6"/>
    </row>
    <row r="127" ht="15.0" customHeight="1">
      <c r="A127" s="7" t="s">
        <v>847</v>
      </c>
      <c r="B127" s="7" t="s">
        <v>848</v>
      </c>
      <c r="C127" s="7" t="s">
        <v>849</v>
      </c>
      <c r="D127" s="7" t="s">
        <v>46</v>
      </c>
      <c r="E127" s="7" t="s">
        <v>194</v>
      </c>
      <c r="F127" s="7" t="s">
        <v>52</v>
      </c>
      <c r="G127" s="11" t="s">
        <v>55</v>
      </c>
      <c r="H127" s="11" t="s">
        <v>55</v>
      </c>
      <c r="I127" s="11" t="s">
        <v>55</v>
      </c>
      <c r="J127" s="7" t="s">
        <v>55</v>
      </c>
      <c r="K127" s="7"/>
      <c r="L127" s="14" t="str">
        <f t="shared" si="1"/>
        <v>Sim</v>
      </c>
      <c r="M127" s="7"/>
      <c r="N127" s="7"/>
      <c r="O127" s="7" t="s">
        <v>55</v>
      </c>
      <c r="P127" s="7"/>
      <c r="Q127" s="16" t="s">
        <v>55</v>
      </c>
      <c r="R127" s="16" t="s">
        <v>55</v>
      </c>
      <c r="S127" s="16" t="s">
        <v>55</v>
      </c>
      <c r="T127" s="16" t="s">
        <v>55</v>
      </c>
      <c r="U127" s="16" t="s">
        <v>55</v>
      </c>
      <c r="V127" s="16" t="s">
        <v>127</v>
      </c>
      <c r="W127" s="16"/>
      <c r="X127" s="6"/>
      <c r="Y127" s="6"/>
      <c r="Z127" s="6"/>
    </row>
    <row r="128" ht="15.0" customHeight="1">
      <c r="A128" s="7" t="s">
        <v>850</v>
      </c>
      <c r="B128" s="7" t="s">
        <v>851</v>
      </c>
      <c r="C128" s="7" t="s">
        <v>852</v>
      </c>
      <c r="D128" s="7" t="s">
        <v>46</v>
      </c>
      <c r="E128" s="7" t="s">
        <v>213</v>
      </c>
      <c r="F128" s="7" t="s">
        <v>52</v>
      </c>
      <c r="G128" s="11" t="s">
        <v>55</v>
      </c>
      <c r="H128" s="11" t="s">
        <v>55</v>
      </c>
      <c r="I128" s="11" t="s">
        <v>55</v>
      </c>
      <c r="J128" s="7" t="s">
        <v>55</v>
      </c>
      <c r="K128" s="7"/>
      <c r="L128" s="14" t="str">
        <f t="shared" si="1"/>
        <v>Sim</v>
      </c>
      <c r="M128" s="11" t="s">
        <v>87</v>
      </c>
      <c r="N128" s="7"/>
      <c r="O128" s="7" t="s">
        <v>55</v>
      </c>
      <c r="P128" s="7"/>
      <c r="Q128" s="16" t="s">
        <v>55</v>
      </c>
      <c r="R128" s="16" t="s">
        <v>55</v>
      </c>
      <c r="S128" s="16" t="s">
        <v>55</v>
      </c>
      <c r="T128" s="16" t="s">
        <v>55</v>
      </c>
      <c r="U128" s="16" t="s">
        <v>55</v>
      </c>
      <c r="V128" s="16" t="s">
        <v>127</v>
      </c>
      <c r="W128" s="16"/>
      <c r="X128" s="6"/>
      <c r="Y128" s="6"/>
      <c r="Z128" s="6"/>
    </row>
    <row r="129" ht="15.0" customHeight="1">
      <c r="A129" s="7" t="s">
        <v>856</v>
      </c>
      <c r="B129" s="7" t="s">
        <v>857</v>
      </c>
      <c r="C129" s="7" t="s">
        <v>858</v>
      </c>
      <c r="D129" s="7" t="s">
        <v>46</v>
      </c>
      <c r="E129" s="7" t="s">
        <v>138</v>
      </c>
      <c r="F129" s="7" t="s">
        <v>52</v>
      </c>
      <c r="G129" s="11" t="s">
        <v>55</v>
      </c>
      <c r="H129" s="11" t="s">
        <v>55</v>
      </c>
      <c r="I129" s="11" t="s">
        <v>55</v>
      </c>
      <c r="J129" s="7" t="s">
        <v>55</v>
      </c>
      <c r="K129" s="7"/>
      <c r="L129" s="14" t="str">
        <f t="shared" si="1"/>
        <v>Sim</v>
      </c>
      <c r="M129" s="7"/>
      <c r="N129" s="7"/>
      <c r="O129" s="7" t="s">
        <v>55</v>
      </c>
      <c r="P129" s="7"/>
      <c r="Q129" s="16" t="s">
        <v>55</v>
      </c>
      <c r="R129" s="16" t="s">
        <v>55</v>
      </c>
      <c r="S129" s="16" t="s">
        <v>55</v>
      </c>
      <c r="T129" s="16" t="s">
        <v>55</v>
      </c>
      <c r="U129" s="16" t="s">
        <v>55</v>
      </c>
      <c r="V129" s="16" t="s">
        <v>127</v>
      </c>
      <c r="W129" s="16"/>
      <c r="X129" s="6"/>
      <c r="Y129" s="6"/>
      <c r="Z129" s="6"/>
    </row>
    <row r="130" ht="15.0" customHeight="1">
      <c r="A130" s="7" t="s">
        <v>861</v>
      </c>
      <c r="B130" s="7" t="s">
        <v>862</v>
      </c>
      <c r="C130" s="7" t="s">
        <v>863</v>
      </c>
      <c r="D130" s="7" t="s">
        <v>46</v>
      </c>
      <c r="E130" s="7" t="s">
        <v>194</v>
      </c>
      <c r="F130" s="7" t="s">
        <v>52</v>
      </c>
      <c r="G130" s="11" t="s">
        <v>55</v>
      </c>
      <c r="H130" s="11" t="s">
        <v>55</v>
      </c>
      <c r="I130" s="11" t="s">
        <v>55</v>
      </c>
      <c r="J130" s="7" t="s">
        <v>55</v>
      </c>
      <c r="K130" s="7"/>
      <c r="L130" s="14" t="str">
        <f t="shared" si="1"/>
        <v>Sim</v>
      </c>
      <c r="M130" s="7"/>
      <c r="N130" s="7"/>
      <c r="O130" s="7" t="s">
        <v>55</v>
      </c>
      <c r="P130" s="7"/>
      <c r="Q130" s="16" t="s">
        <v>55</v>
      </c>
      <c r="R130" s="16" t="s">
        <v>55</v>
      </c>
      <c r="S130" s="16" t="s">
        <v>55</v>
      </c>
      <c r="T130" s="16" t="s">
        <v>55</v>
      </c>
      <c r="U130" s="16" t="s">
        <v>55</v>
      </c>
      <c r="V130" s="16" t="s">
        <v>127</v>
      </c>
      <c r="W130" s="16"/>
      <c r="X130" s="6"/>
      <c r="Y130" s="6"/>
      <c r="Z130" s="6"/>
    </row>
    <row r="131" ht="15.0" customHeight="1">
      <c r="A131" s="7" t="s">
        <v>867</v>
      </c>
      <c r="B131" s="7" t="s">
        <v>868</v>
      </c>
      <c r="C131" s="7" t="s">
        <v>869</v>
      </c>
      <c r="D131" s="7" t="s">
        <v>46</v>
      </c>
      <c r="E131" s="7" t="s">
        <v>138</v>
      </c>
      <c r="F131" s="7" t="s">
        <v>52</v>
      </c>
      <c r="G131" s="11" t="s">
        <v>55</v>
      </c>
      <c r="H131" s="11" t="s">
        <v>55</v>
      </c>
      <c r="I131" s="11" t="s">
        <v>55</v>
      </c>
      <c r="J131" s="7" t="s">
        <v>55</v>
      </c>
      <c r="K131" s="11" t="s">
        <v>870</v>
      </c>
      <c r="L131" s="14" t="str">
        <f t="shared" si="1"/>
        <v>Não</v>
      </c>
      <c r="M131" s="7"/>
      <c r="N131" s="7"/>
      <c r="O131" s="7" t="s">
        <v>55</v>
      </c>
      <c r="P131" s="7"/>
      <c r="Q131" s="16" t="s">
        <v>55</v>
      </c>
      <c r="R131" s="16" t="s">
        <v>55</v>
      </c>
      <c r="S131" s="16" t="s">
        <v>55</v>
      </c>
      <c r="T131" s="16" t="s">
        <v>55</v>
      </c>
      <c r="U131" s="16" t="s">
        <v>55</v>
      </c>
      <c r="V131" s="16" t="s">
        <v>127</v>
      </c>
      <c r="W131" s="16" t="s">
        <v>871</v>
      </c>
      <c r="X131" s="6"/>
      <c r="Y131" s="6"/>
      <c r="Z131" s="6"/>
    </row>
    <row r="132" ht="15.0" customHeight="1">
      <c r="A132" s="7" t="s">
        <v>872</v>
      </c>
      <c r="B132" s="7" t="s">
        <v>873</v>
      </c>
      <c r="C132" s="7" t="s">
        <v>874</v>
      </c>
      <c r="D132" s="7" t="s">
        <v>46</v>
      </c>
      <c r="E132" s="7" t="s">
        <v>213</v>
      </c>
      <c r="F132" s="7" t="s">
        <v>52</v>
      </c>
      <c r="G132" s="11" t="s">
        <v>55</v>
      </c>
      <c r="H132" s="11" t="s">
        <v>55</v>
      </c>
      <c r="I132" s="11" t="s">
        <v>55</v>
      </c>
      <c r="J132" s="7" t="s">
        <v>55</v>
      </c>
      <c r="K132" s="7"/>
      <c r="L132" s="14" t="str">
        <f t="shared" si="1"/>
        <v>Sim</v>
      </c>
      <c r="M132" s="7"/>
      <c r="N132" s="7"/>
      <c r="O132" s="7" t="s">
        <v>55</v>
      </c>
      <c r="P132" s="7"/>
      <c r="Q132" s="16" t="s">
        <v>55</v>
      </c>
      <c r="R132" s="16" t="s">
        <v>55</v>
      </c>
      <c r="S132" s="16" t="s">
        <v>55</v>
      </c>
      <c r="T132" s="16" t="s">
        <v>55</v>
      </c>
      <c r="U132" s="16" t="s">
        <v>55</v>
      </c>
      <c r="V132" s="16" t="s">
        <v>127</v>
      </c>
      <c r="W132" s="16"/>
      <c r="X132" s="6"/>
      <c r="Y132" s="6"/>
      <c r="Z132" s="6"/>
    </row>
    <row r="133" ht="15.0" customHeight="1">
      <c r="A133" s="7" t="s">
        <v>876</v>
      </c>
      <c r="B133" s="7" t="s">
        <v>877</v>
      </c>
      <c r="C133" s="7" t="s">
        <v>878</v>
      </c>
      <c r="D133" s="7" t="s">
        <v>46</v>
      </c>
      <c r="E133" s="7" t="s">
        <v>194</v>
      </c>
      <c r="F133" s="7" t="s">
        <v>52</v>
      </c>
      <c r="G133" s="11" t="s">
        <v>55</v>
      </c>
      <c r="H133" s="11" t="s">
        <v>55</v>
      </c>
      <c r="I133" s="11" t="s">
        <v>55</v>
      </c>
      <c r="J133" s="7" t="s">
        <v>55</v>
      </c>
      <c r="K133" s="11" t="s">
        <v>879</v>
      </c>
      <c r="L133" s="14" t="str">
        <f t="shared" si="1"/>
        <v>Não</v>
      </c>
      <c r="M133" s="7"/>
      <c r="N133" s="7"/>
      <c r="O133" s="7" t="s">
        <v>55</v>
      </c>
      <c r="P133" s="7"/>
      <c r="Q133" s="16" t="s">
        <v>55</v>
      </c>
      <c r="R133" s="16" t="s">
        <v>55</v>
      </c>
      <c r="S133" s="16" t="s">
        <v>55</v>
      </c>
      <c r="T133" s="16" t="s">
        <v>55</v>
      </c>
      <c r="U133" s="16" t="s">
        <v>55</v>
      </c>
      <c r="V133" s="16" t="s">
        <v>127</v>
      </c>
      <c r="W133" s="16" t="s">
        <v>880</v>
      </c>
      <c r="X133" s="6"/>
      <c r="Y133" s="6"/>
      <c r="Z133" s="6"/>
    </row>
    <row r="134" ht="15.0" customHeight="1">
      <c r="A134" s="7" t="s">
        <v>881</v>
      </c>
      <c r="B134" s="7" t="s">
        <v>882</v>
      </c>
      <c r="C134" s="7" t="s">
        <v>883</v>
      </c>
      <c r="D134" s="7" t="s">
        <v>46</v>
      </c>
      <c r="E134" s="7" t="s">
        <v>220</v>
      </c>
      <c r="F134" s="7" t="s">
        <v>52</v>
      </c>
      <c r="G134" s="11" t="s">
        <v>55</v>
      </c>
      <c r="H134" s="11" t="s">
        <v>55</v>
      </c>
      <c r="I134" s="11" t="s">
        <v>55</v>
      </c>
      <c r="J134" s="7" t="s">
        <v>55</v>
      </c>
      <c r="K134" s="7"/>
      <c r="L134" s="14" t="str">
        <f t="shared" si="1"/>
        <v>Sim</v>
      </c>
      <c r="M134" s="7"/>
      <c r="N134" s="7"/>
      <c r="O134" s="7" t="s">
        <v>55</v>
      </c>
      <c r="P134" s="7"/>
      <c r="Q134" s="16" t="s">
        <v>55</v>
      </c>
      <c r="R134" s="16" t="s">
        <v>55</v>
      </c>
      <c r="S134" s="16" t="s">
        <v>55</v>
      </c>
      <c r="T134" s="16" t="s">
        <v>55</v>
      </c>
      <c r="U134" s="16" t="s">
        <v>55</v>
      </c>
      <c r="V134" s="16" t="s">
        <v>127</v>
      </c>
      <c r="W134" s="16"/>
      <c r="X134" s="6"/>
      <c r="Y134" s="6"/>
      <c r="Z134" s="6"/>
    </row>
    <row r="135" ht="15.0" customHeight="1">
      <c r="A135" s="7" t="s">
        <v>884</v>
      </c>
      <c r="B135" s="7" t="s">
        <v>885</v>
      </c>
      <c r="C135" s="7" t="s">
        <v>886</v>
      </c>
      <c r="D135" s="7" t="s">
        <v>46</v>
      </c>
      <c r="E135" s="7" t="s">
        <v>267</v>
      </c>
      <c r="F135" s="7" t="s">
        <v>52</v>
      </c>
      <c r="G135" s="11" t="s">
        <v>55</v>
      </c>
      <c r="H135" s="11" t="s">
        <v>55</v>
      </c>
      <c r="I135" s="11" t="s">
        <v>55</v>
      </c>
      <c r="J135" s="7" t="s">
        <v>55</v>
      </c>
      <c r="K135" s="7"/>
      <c r="L135" s="14" t="str">
        <f t="shared" si="1"/>
        <v>Sim</v>
      </c>
      <c r="M135" s="7"/>
      <c r="N135" s="7"/>
      <c r="O135" s="7" t="s">
        <v>55</v>
      </c>
      <c r="P135" s="7"/>
      <c r="Q135" s="16" t="s">
        <v>55</v>
      </c>
      <c r="R135" s="16" t="s">
        <v>55</v>
      </c>
      <c r="S135" s="16" t="s">
        <v>55</v>
      </c>
      <c r="T135" s="16" t="s">
        <v>55</v>
      </c>
      <c r="U135" s="16" t="s">
        <v>55</v>
      </c>
      <c r="V135" s="16" t="s">
        <v>127</v>
      </c>
      <c r="W135" s="16"/>
      <c r="X135" s="6"/>
      <c r="Y135" s="6"/>
      <c r="Z135" s="6"/>
    </row>
    <row r="136" ht="15.0" customHeight="1">
      <c r="A136" s="7" t="s">
        <v>887</v>
      </c>
      <c r="B136" s="7" t="s">
        <v>888</v>
      </c>
      <c r="C136" s="7" t="s">
        <v>889</v>
      </c>
      <c r="D136" s="7" t="s">
        <v>46</v>
      </c>
      <c r="E136" s="7" t="s">
        <v>138</v>
      </c>
      <c r="F136" s="7" t="s">
        <v>52</v>
      </c>
      <c r="G136" s="11" t="s">
        <v>55</v>
      </c>
      <c r="H136" s="11" t="s">
        <v>55</v>
      </c>
      <c r="I136" s="11" t="s">
        <v>55</v>
      </c>
      <c r="J136" s="7" t="s">
        <v>55</v>
      </c>
      <c r="K136" s="11" t="s">
        <v>890</v>
      </c>
      <c r="L136" s="14" t="str">
        <f t="shared" si="1"/>
        <v>Não</v>
      </c>
      <c r="M136" s="7"/>
      <c r="N136" s="7"/>
      <c r="O136" s="7" t="s">
        <v>55</v>
      </c>
      <c r="P136" s="7"/>
      <c r="Q136" s="16" t="s">
        <v>55</v>
      </c>
      <c r="R136" s="16" t="s">
        <v>55</v>
      </c>
      <c r="S136" s="16" t="s">
        <v>55</v>
      </c>
      <c r="T136" s="16" t="s">
        <v>55</v>
      </c>
      <c r="U136" s="16" t="s">
        <v>55</v>
      </c>
      <c r="V136" s="16" t="s">
        <v>127</v>
      </c>
      <c r="W136" s="16" t="s">
        <v>891</v>
      </c>
      <c r="X136" s="6"/>
      <c r="Y136" s="6"/>
      <c r="Z136" s="6"/>
    </row>
    <row r="137" ht="15.0" customHeight="1">
      <c r="A137" s="7" t="s">
        <v>892</v>
      </c>
      <c r="B137" s="7" t="s">
        <v>893</v>
      </c>
      <c r="C137" s="7" t="s">
        <v>894</v>
      </c>
      <c r="D137" s="7" t="s">
        <v>46</v>
      </c>
      <c r="E137" s="7" t="s">
        <v>138</v>
      </c>
      <c r="F137" s="7" t="s">
        <v>52</v>
      </c>
      <c r="G137" s="11" t="s">
        <v>55</v>
      </c>
      <c r="H137" s="11" t="s">
        <v>55</v>
      </c>
      <c r="I137" s="11" t="s">
        <v>55</v>
      </c>
      <c r="J137" s="7" t="s">
        <v>55</v>
      </c>
      <c r="K137" s="11" t="s">
        <v>812</v>
      </c>
      <c r="L137" s="14" t="str">
        <f t="shared" si="1"/>
        <v>Não</v>
      </c>
      <c r="M137" s="7"/>
      <c r="N137" s="7"/>
      <c r="O137" s="7" t="s">
        <v>55</v>
      </c>
      <c r="P137" s="7"/>
      <c r="Q137" s="16" t="s">
        <v>55</v>
      </c>
      <c r="R137" s="16" t="s">
        <v>55</v>
      </c>
      <c r="S137" s="16" t="s">
        <v>55</v>
      </c>
      <c r="T137" s="16" t="s">
        <v>55</v>
      </c>
      <c r="U137" s="16" t="s">
        <v>55</v>
      </c>
      <c r="V137" s="16" t="s">
        <v>127</v>
      </c>
      <c r="W137" s="16" t="s">
        <v>895</v>
      </c>
      <c r="X137" s="6"/>
      <c r="Y137" s="6"/>
      <c r="Z137" s="6"/>
    </row>
    <row r="138" ht="15.0" customHeight="1">
      <c r="A138" s="7" t="s">
        <v>896</v>
      </c>
      <c r="B138" s="7" t="s">
        <v>897</v>
      </c>
      <c r="C138" s="7" t="s">
        <v>898</v>
      </c>
      <c r="D138" s="7" t="s">
        <v>46</v>
      </c>
      <c r="E138" s="7" t="s">
        <v>259</v>
      </c>
      <c r="F138" s="7" t="s">
        <v>52</v>
      </c>
      <c r="G138" s="11" t="s">
        <v>55</v>
      </c>
      <c r="H138" s="11" t="s">
        <v>55</v>
      </c>
      <c r="I138" s="11" t="s">
        <v>55</v>
      </c>
      <c r="J138" s="7" t="s">
        <v>55</v>
      </c>
      <c r="K138" s="11" t="s">
        <v>899</v>
      </c>
      <c r="L138" s="14" t="str">
        <f t="shared" si="1"/>
        <v>Não</v>
      </c>
      <c r="M138" s="7"/>
      <c r="N138" s="7"/>
      <c r="O138" s="7" t="s">
        <v>55</v>
      </c>
      <c r="P138" s="7"/>
      <c r="Q138" s="16" t="s">
        <v>55</v>
      </c>
      <c r="R138" s="16" t="s">
        <v>55</v>
      </c>
      <c r="S138" s="16" t="s">
        <v>55</v>
      </c>
      <c r="T138" s="16" t="s">
        <v>55</v>
      </c>
      <c r="U138" s="16" t="s">
        <v>55</v>
      </c>
      <c r="V138" s="16" t="s">
        <v>127</v>
      </c>
      <c r="W138" s="16" t="s">
        <v>900</v>
      </c>
      <c r="X138" s="6"/>
      <c r="Y138" s="6"/>
      <c r="Z138" s="6"/>
    </row>
    <row r="139" ht="15.0" customHeight="1">
      <c r="A139" s="7" t="s">
        <v>901</v>
      </c>
      <c r="B139" s="7" t="s">
        <v>902</v>
      </c>
      <c r="C139" s="7" t="s">
        <v>903</v>
      </c>
      <c r="D139" s="7" t="s">
        <v>46</v>
      </c>
      <c r="E139" s="7" t="s">
        <v>259</v>
      </c>
      <c r="F139" s="7" t="s">
        <v>52</v>
      </c>
      <c r="G139" s="11" t="s">
        <v>55</v>
      </c>
      <c r="H139" s="11" t="s">
        <v>55</v>
      </c>
      <c r="I139" s="11" t="s">
        <v>55</v>
      </c>
      <c r="J139" s="7" t="s">
        <v>55</v>
      </c>
      <c r="K139" s="7"/>
      <c r="L139" s="14" t="str">
        <f t="shared" si="1"/>
        <v>Sim</v>
      </c>
      <c r="M139" s="7"/>
      <c r="N139" s="7"/>
      <c r="O139" s="7" t="s">
        <v>55</v>
      </c>
      <c r="P139" s="7"/>
      <c r="Q139" s="16" t="s">
        <v>55</v>
      </c>
      <c r="R139" s="16" t="s">
        <v>55</v>
      </c>
      <c r="S139" s="16" t="s">
        <v>55</v>
      </c>
      <c r="T139" s="16" t="s">
        <v>55</v>
      </c>
      <c r="U139" s="16" t="s">
        <v>55</v>
      </c>
      <c r="V139" s="16" t="s">
        <v>127</v>
      </c>
      <c r="W139" s="16"/>
      <c r="X139" s="6"/>
      <c r="Y139" s="6"/>
      <c r="Z139" s="6"/>
    </row>
    <row r="140" ht="15.0" customHeight="1">
      <c r="A140" s="7" t="s">
        <v>904</v>
      </c>
      <c r="B140" s="7" t="s">
        <v>905</v>
      </c>
      <c r="C140" s="7" t="s">
        <v>906</v>
      </c>
      <c r="D140" s="7" t="s">
        <v>46</v>
      </c>
      <c r="E140" s="7" t="s">
        <v>286</v>
      </c>
      <c r="F140" s="7" t="s">
        <v>52</v>
      </c>
      <c r="G140" s="11" t="s">
        <v>55</v>
      </c>
      <c r="H140" s="11" t="s">
        <v>55</v>
      </c>
      <c r="I140" s="11" t="s">
        <v>55</v>
      </c>
      <c r="J140" s="7" t="s">
        <v>55</v>
      </c>
      <c r="K140" s="7"/>
      <c r="L140" s="14" t="str">
        <f t="shared" si="1"/>
        <v>Sim</v>
      </c>
      <c r="M140" s="7"/>
      <c r="N140" s="7"/>
      <c r="O140" s="7" t="s">
        <v>55</v>
      </c>
      <c r="P140" s="7"/>
      <c r="Q140" s="16" t="s">
        <v>55</v>
      </c>
      <c r="R140" s="16" t="s">
        <v>55</v>
      </c>
      <c r="S140" s="16" t="s">
        <v>55</v>
      </c>
      <c r="T140" s="16" t="s">
        <v>55</v>
      </c>
      <c r="U140" s="16" t="s">
        <v>55</v>
      </c>
      <c r="V140" s="16" t="s">
        <v>127</v>
      </c>
      <c r="W140" s="16"/>
      <c r="X140" s="6"/>
      <c r="Y140" s="6"/>
      <c r="Z140" s="6"/>
    </row>
    <row r="141" ht="29.25" customHeight="1">
      <c r="A141" s="7" t="s">
        <v>907</v>
      </c>
      <c r="B141" s="7" t="s">
        <v>908</v>
      </c>
      <c r="C141" s="7" t="s">
        <v>909</v>
      </c>
      <c r="D141" s="7" t="s">
        <v>46</v>
      </c>
      <c r="E141" s="7" t="s">
        <v>220</v>
      </c>
      <c r="F141" s="7" t="s">
        <v>52</v>
      </c>
      <c r="G141" s="11" t="s">
        <v>55</v>
      </c>
      <c r="H141" s="11" t="s">
        <v>55</v>
      </c>
      <c r="I141" s="11" t="s">
        <v>55</v>
      </c>
      <c r="J141" s="7" t="s">
        <v>55</v>
      </c>
      <c r="K141" s="11" t="s">
        <v>910</v>
      </c>
      <c r="L141" s="14" t="str">
        <f t="shared" si="1"/>
        <v>Não</v>
      </c>
      <c r="M141" s="7"/>
      <c r="N141" s="7"/>
      <c r="O141" s="7" t="s">
        <v>55</v>
      </c>
      <c r="P141" s="7"/>
      <c r="Q141" s="16" t="s">
        <v>55</v>
      </c>
      <c r="R141" s="16" t="s">
        <v>55</v>
      </c>
      <c r="S141" s="16" t="s">
        <v>55</v>
      </c>
      <c r="T141" s="16" t="s">
        <v>55</v>
      </c>
      <c r="U141" s="16" t="s">
        <v>55</v>
      </c>
      <c r="V141" s="16" t="s">
        <v>127</v>
      </c>
      <c r="W141" s="16" t="s">
        <v>912</v>
      </c>
      <c r="X141" s="6"/>
      <c r="Y141" s="6"/>
      <c r="Z141" s="6"/>
    </row>
    <row r="142" ht="15.0" customHeight="1">
      <c r="A142" s="7" t="s">
        <v>913</v>
      </c>
      <c r="B142" s="7" t="s">
        <v>915</v>
      </c>
      <c r="C142" s="7" t="s">
        <v>917</v>
      </c>
      <c r="D142" s="7" t="s">
        <v>46</v>
      </c>
      <c r="E142" s="7" t="s">
        <v>267</v>
      </c>
      <c r="F142" s="7" t="s">
        <v>52</v>
      </c>
      <c r="G142" s="11" t="s">
        <v>55</v>
      </c>
      <c r="H142" s="11" t="s">
        <v>55</v>
      </c>
      <c r="I142" s="11" t="s">
        <v>55</v>
      </c>
      <c r="J142" s="7" t="s">
        <v>55</v>
      </c>
      <c r="K142" s="7"/>
      <c r="L142" s="14" t="str">
        <f t="shared" si="1"/>
        <v>Sim</v>
      </c>
      <c r="M142" s="11" t="s">
        <v>87</v>
      </c>
      <c r="N142" s="7"/>
      <c r="O142" s="7" t="s">
        <v>55</v>
      </c>
      <c r="P142" s="7"/>
      <c r="Q142" s="16" t="s">
        <v>55</v>
      </c>
      <c r="R142" s="16" t="s">
        <v>55</v>
      </c>
      <c r="S142" s="16" t="s">
        <v>55</v>
      </c>
      <c r="T142" s="16" t="s">
        <v>55</v>
      </c>
      <c r="U142" s="16" t="s">
        <v>55</v>
      </c>
      <c r="V142" s="16" t="s">
        <v>127</v>
      </c>
      <c r="W142" s="16"/>
      <c r="X142" s="6"/>
      <c r="Y142" s="6"/>
      <c r="Z142" s="6"/>
    </row>
    <row r="143" ht="15.0" customHeight="1">
      <c r="A143" s="7" t="s">
        <v>921</v>
      </c>
      <c r="B143" s="7" t="s">
        <v>922</v>
      </c>
      <c r="C143" s="7" t="s">
        <v>923</v>
      </c>
      <c r="D143" s="7" t="s">
        <v>46</v>
      </c>
      <c r="E143" s="7" t="s">
        <v>213</v>
      </c>
      <c r="F143" s="7" t="s">
        <v>52</v>
      </c>
      <c r="G143" s="11" t="s">
        <v>55</v>
      </c>
      <c r="H143" s="11" t="s">
        <v>55</v>
      </c>
      <c r="I143" s="11" t="s">
        <v>55</v>
      </c>
      <c r="J143" s="7" t="s">
        <v>55</v>
      </c>
      <c r="K143" s="11" t="s">
        <v>926</v>
      </c>
      <c r="L143" s="14" t="str">
        <f t="shared" si="1"/>
        <v>Não</v>
      </c>
      <c r="M143" s="7"/>
      <c r="N143" s="7"/>
      <c r="O143" s="7" t="s">
        <v>55</v>
      </c>
      <c r="P143" s="7"/>
      <c r="Q143" s="16" t="s">
        <v>55</v>
      </c>
      <c r="R143" s="16" t="s">
        <v>55</v>
      </c>
      <c r="S143" s="16" t="s">
        <v>55</v>
      </c>
      <c r="T143" s="16" t="s">
        <v>55</v>
      </c>
      <c r="U143" s="16" t="s">
        <v>55</v>
      </c>
      <c r="V143" s="16" t="s">
        <v>127</v>
      </c>
      <c r="W143" s="16" t="s">
        <v>928</v>
      </c>
      <c r="X143" s="6"/>
      <c r="Y143" s="6"/>
      <c r="Z143" s="6"/>
    </row>
    <row r="144" ht="15.0" customHeight="1">
      <c r="A144" s="7" t="s">
        <v>929</v>
      </c>
      <c r="B144" s="7" t="s">
        <v>930</v>
      </c>
      <c r="C144" s="7" t="s">
        <v>931</v>
      </c>
      <c r="D144" s="7" t="s">
        <v>46</v>
      </c>
      <c r="E144" s="7" t="s">
        <v>48</v>
      </c>
      <c r="F144" s="7" t="s">
        <v>52</v>
      </c>
      <c r="G144" s="11" t="s">
        <v>55</v>
      </c>
      <c r="H144" s="11" t="s">
        <v>55</v>
      </c>
      <c r="I144" s="11" t="s">
        <v>55</v>
      </c>
      <c r="J144" s="7" t="s">
        <v>55</v>
      </c>
      <c r="K144" s="11" t="s">
        <v>812</v>
      </c>
      <c r="L144" s="14" t="str">
        <f t="shared" si="1"/>
        <v>Não</v>
      </c>
      <c r="M144" s="7"/>
      <c r="N144" s="7"/>
      <c r="O144" s="7" t="s">
        <v>55</v>
      </c>
      <c r="P144" s="7"/>
      <c r="Q144" s="16" t="s">
        <v>55</v>
      </c>
      <c r="R144" s="16" t="s">
        <v>55</v>
      </c>
      <c r="S144" s="16" t="s">
        <v>55</v>
      </c>
      <c r="T144" s="16" t="s">
        <v>55</v>
      </c>
      <c r="U144" s="16" t="s">
        <v>55</v>
      </c>
      <c r="V144" s="16" t="s">
        <v>127</v>
      </c>
      <c r="W144" s="16" t="s">
        <v>932</v>
      </c>
      <c r="X144" s="6"/>
      <c r="Y144" s="6"/>
      <c r="Z144" s="6"/>
    </row>
    <row r="145" ht="15.0" customHeight="1">
      <c r="A145" s="7" t="s">
        <v>933</v>
      </c>
      <c r="B145" s="7" t="s">
        <v>934</v>
      </c>
      <c r="C145" s="7" t="s">
        <v>935</v>
      </c>
      <c r="D145" s="7" t="s">
        <v>46</v>
      </c>
      <c r="E145" s="7" t="s">
        <v>138</v>
      </c>
      <c r="F145" s="7" t="s">
        <v>52</v>
      </c>
      <c r="G145" s="11" t="s">
        <v>55</v>
      </c>
      <c r="H145" s="11" t="s">
        <v>55</v>
      </c>
      <c r="I145" s="11" t="s">
        <v>55</v>
      </c>
      <c r="J145" s="7" t="s">
        <v>55</v>
      </c>
      <c r="K145" s="11" t="s">
        <v>936</v>
      </c>
      <c r="L145" s="14" t="str">
        <f t="shared" si="1"/>
        <v>Não</v>
      </c>
      <c r="M145" s="7"/>
      <c r="N145" s="7"/>
      <c r="O145" s="7" t="s">
        <v>55</v>
      </c>
      <c r="P145" s="7"/>
      <c r="Q145" s="16" t="s">
        <v>55</v>
      </c>
      <c r="R145" s="16" t="s">
        <v>55</v>
      </c>
      <c r="S145" s="16" t="s">
        <v>55</v>
      </c>
      <c r="T145" s="16" t="s">
        <v>55</v>
      </c>
      <c r="U145" s="16" t="s">
        <v>55</v>
      </c>
      <c r="V145" s="16" t="s">
        <v>127</v>
      </c>
      <c r="W145" s="16" t="s">
        <v>937</v>
      </c>
      <c r="X145" s="6"/>
      <c r="Y145" s="6"/>
      <c r="Z145" s="6"/>
    </row>
    <row r="146" ht="15.0" customHeight="1">
      <c r="A146" s="7" t="s">
        <v>938</v>
      </c>
      <c r="B146" s="7" t="s">
        <v>939</v>
      </c>
      <c r="C146" s="7" t="s">
        <v>940</v>
      </c>
      <c r="D146" s="7" t="s">
        <v>46</v>
      </c>
      <c r="E146" s="7" t="s">
        <v>180</v>
      </c>
      <c r="F146" s="7" t="s">
        <v>52</v>
      </c>
      <c r="G146" s="11" t="s">
        <v>55</v>
      </c>
      <c r="H146" s="11" t="s">
        <v>55</v>
      </c>
      <c r="I146" s="11" t="s">
        <v>55</v>
      </c>
      <c r="J146" s="7" t="s">
        <v>55</v>
      </c>
      <c r="K146" s="7"/>
      <c r="L146" s="14" t="str">
        <f t="shared" si="1"/>
        <v>Sim</v>
      </c>
      <c r="M146" s="7"/>
      <c r="N146" s="7"/>
      <c r="O146" s="7" t="s">
        <v>55</v>
      </c>
      <c r="P146" s="7"/>
      <c r="Q146" s="16" t="s">
        <v>55</v>
      </c>
      <c r="R146" s="16" t="s">
        <v>55</v>
      </c>
      <c r="S146" s="16" t="s">
        <v>55</v>
      </c>
      <c r="T146" s="16" t="s">
        <v>55</v>
      </c>
      <c r="U146" s="16" t="s">
        <v>55</v>
      </c>
      <c r="V146" s="16" t="s">
        <v>127</v>
      </c>
      <c r="W146" s="16"/>
      <c r="X146" s="6"/>
      <c r="Y146" s="6"/>
      <c r="Z146" s="6"/>
    </row>
    <row r="147" ht="15.0" customHeight="1">
      <c r="A147" s="7" t="s">
        <v>942</v>
      </c>
      <c r="B147" s="7" t="s">
        <v>943</v>
      </c>
      <c r="C147" s="7" t="s">
        <v>944</v>
      </c>
      <c r="D147" s="7" t="s">
        <v>46</v>
      </c>
      <c r="E147" s="7" t="s">
        <v>107</v>
      </c>
      <c r="F147" s="7" t="s">
        <v>52</v>
      </c>
      <c r="G147" s="11" t="s">
        <v>57</v>
      </c>
      <c r="H147" s="11" t="s">
        <v>55</v>
      </c>
      <c r="I147" s="11" t="s">
        <v>55</v>
      </c>
      <c r="J147" s="7" t="s">
        <v>55</v>
      </c>
      <c r="K147" s="11" t="s">
        <v>812</v>
      </c>
      <c r="L147" s="14" t="str">
        <f t="shared" si="1"/>
        <v>Não</v>
      </c>
      <c r="M147" s="7"/>
      <c r="N147" s="7"/>
      <c r="O147" s="7" t="s">
        <v>55</v>
      </c>
      <c r="P147" s="7"/>
      <c r="Q147" s="16" t="s">
        <v>55</v>
      </c>
      <c r="R147" s="16" t="s">
        <v>55</v>
      </c>
      <c r="S147" s="16" t="s">
        <v>55</v>
      </c>
      <c r="T147" s="16" t="s">
        <v>55</v>
      </c>
      <c r="U147" s="16" t="s">
        <v>55</v>
      </c>
      <c r="V147" s="16" t="s">
        <v>127</v>
      </c>
      <c r="W147" s="16" t="s">
        <v>945</v>
      </c>
      <c r="X147" s="6"/>
      <c r="Y147" s="6"/>
      <c r="Z147" s="6"/>
    </row>
    <row r="148" ht="15.0" customHeight="1">
      <c r="A148" s="7" t="s">
        <v>946</v>
      </c>
      <c r="B148" s="7" t="s">
        <v>947</v>
      </c>
      <c r="C148" s="7" t="s">
        <v>948</v>
      </c>
      <c r="D148" s="7" t="s">
        <v>46</v>
      </c>
      <c r="E148" s="7" t="s">
        <v>138</v>
      </c>
      <c r="F148" s="7" t="s">
        <v>52</v>
      </c>
      <c r="G148" s="11" t="s">
        <v>55</v>
      </c>
      <c r="H148" s="11" t="s">
        <v>55</v>
      </c>
      <c r="I148" s="11" t="s">
        <v>55</v>
      </c>
      <c r="J148" s="7" t="s">
        <v>55</v>
      </c>
      <c r="K148" s="7"/>
      <c r="L148" s="14" t="str">
        <f t="shared" si="1"/>
        <v>Sim</v>
      </c>
      <c r="M148" s="11" t="s">
        <v>87</v>
      </c>
      <c r="N148" s="7"/>
      <c r="O148" s="7" t="s">
        <v>55</v>
      </c>
      <c r="P148" s="7"/>
      <c r="Q148" s="16" t="s">
        <v>55</v>
      </c>
      <c r="R148" s="16" t="s">
        <v>55</v>
      </c>
      <c r="S148" s="16" t="s">
        <v>55</v>
      </c>
      <c r="T148" s="16" t="s">
        <v>55</v>
      </c>
      <c r="U148" s="16" t="s">
        <v>55</v>
      </c>
      <c r="V148" s="16" t="s">
        <v>127</v>
      </c>
      <c r="W148" s="16"/>
      <c r="X148" s="6"/>
      <c r="Y148" s="6"/>
      <c r="Z148" s="6"/>
    </row>
    <row r="149" ht="15.0" customHeight="1">
      <c r="A149" s="7" t="s">
        <v>949</v>
      </c>
      <c r="B149" s="7" t="s">
        <v>950</v>
      </c>
      <c r="C149" s="7" t="s">
        <v>951</v>
      </c>
      <c r="D149" s="7" t="s">
        <v>46</v>
      </c>
      <c r="E149" s="7" t="s">
        <v>138</v>
      </c>
      <c r="F149" s="7" t="s">
        <v>52</v>
      </c>
      <c r="G149" s="11" t="s">
        <v>55</v>
      </c>
      <c r="H149" s="11" t="s">
        <v>55</v>
      </c>
      <c r="I149" s="11" t="s">
        <v>55</v>
      </c>
      <c r="J149" s="7" t="s">
        <v>55</v>
      </c>
      <c r="K149" s="11" t="s">
        <v>952</v>
      </c>
      <c r="L149" s="14" t="str">
        <f t="shared" si="1"/>
        <v>Não</v>
      </c>
      <c r="M149" s="7"/>
      <c r="N149" s="7"/>
      <c r="O149" s="7" t="s">
        <v>55</v>
      </c>
      <c r="P149" s="7"/>
      <c r="Q149" s="16" t="s">
        <v>55</v>
      </c>
      <c r="R149" s="16" t="s">
        <v>55</v>
      </c>
      <c r="S149" s="16" t="s">
        <v>55</v>
      </c>
      <c r="T149" s="16" t="s">
        <v>55</v>
      </c>
      <c r="U149" s="16" t="s">
        <v>55</v>
      </c>
      <c r="V149" s="16" t="s">
        <v>127</v>
      </c>
      <c r="W149" s="16" t="s">
        <v>953</v>
      </c>
      <c r="X149" s="6"/>
      <c r="Y149" s="6"/>
      <c r="Z149" s="6"/>
    </row>
    <row r="150" ht="28.5" customHeight="1">
      <c r="A150" s="7" t="s">
        <v>954</v>
      </c>
      <c r="B150" s="7" t="s">
        <v>955</v>
      </c>
      <c r="C150" s="7" t="s">
        <v>956</v>
      </c>
      <c r="D150" s="7" t="s">
        <v>46</v>
      </c>
      <c r="E150" s="7" t="s">
        <v>180</v>
      </c>
      <c r="F150" s="7" t="s">
        <v>52</v>
      </c>
      <c r="G150" s="11" t="s">
        <v>55</v>
      </c>
      <c r="H150" s="11" t="s">
        <v>55</v>
      </c>
      <c r="I150" s="11" t="s">
        <v>55</v>
      </c>
      <c r="J150" s="7" t="s">
        <v>55</v>
      </c>
      <c r="K150" s="11" t="s">
        <v>957</v>
      </c>
      <c r="L150" s="14" t="str">
        <f t="shared" si="1"/>
        <v>Não</v>
      </c>
      <c r="M150" s="7"/>
      <c r="N150" s="7"/>
      <c r="O150" s="7" t="s">
        <v>55</v>
      </c>
      <c r="P150" s="7"/>
      <c r="Q150" s="16" t="s">
        <v>55</v>
      </c>
      <c r="R150" s="16" t="s">
        <v>55</v>
      </c>
      <c r="S150" s="16" t="s">
        <v>55</v>
      </c>
      <c r="T150" s="16" t="s">
        <v>55</v>
      </c>
      <c r="U150" s="16" t="s">
        <v>55</v>
      </c>
      <c r="V150" s="16" t="s">
        <v>127</v>
      </c>
      <c r="W150" s="16" t="s">
        <v>958</v>
      </c>
      <c r="X150" s="6"/>
      <c r="Y150" s="6"/>
      <c r="Z150" s="6"/>
    </row>
    <row r="151" ht="15.0" customHeight="1">
      <c r="A151" s="7" t="s">
        <v>959</v>
      </c>
      <c r="B151" s="7" t="s">
        <v>960</v>
      </c>
      <c r="C151" s="7" t="s">
        <v>961</v>
      </c>
      <c r="D151" s="7" t="s">
        <v>46</v>
      </c>
      <c r="E151" s="7" t="s">
        <v>107</v>
      </c>
      <c r="F151" s="7" t="s">
        <v>52</v>
      </c>
      <c r="G151" s="11" t="s">
        <v>55</v>
      </c>
      <c r="H151" s="11" t="s">
        <v>55</v>
      </c>
      <c r="I151" s="11" t="s">
        <v>55</v>
      </c>
      <c r="J151" s="7" t="s">
        <v>55</v>
      </c>
      <c r="K151" s="7"/>
      <c r="L151" s="14" t="str">
        <f t="shared" si="1"/>
        <v>Sim</v>
      </c>
      <c r="M151" s="7"/>
      <c r="N151" s="7"/>
      <c r="O151" s="7" t="s">
        <v>55</v>
      </c>
      <c r="P151" s="7"/>
      <c r="Q151" s="16" t="s">
        <v>55</v>
      </c>
      <c r="R151" s="16" t="s">
        <v>55</v>
      </c>
      <c r="S151" s="16" t="s">
        <v>55</v>
      </c>
      <c r="T151" s="16" t="s">
        <v>55</v>
      </c>
      <c r="U151" s="16" t="s">
        <v>55</v>
      </c>
      <c r="V151" s="16" t="s">
        <v>127</v>
      </c>
      <c r="W151" s="16"/>
      <c r="X151" s="6"/>
      <c r="Y151" s="6"/>
      <c r="Z151" s="6"/>
    </row>
    <row r="152" ht="27.75" customHeight="1">
      <c r="A152" s="7" t="s">
        <v>962</v>
      </c>
      <c r="B152" s="7" t="s">
        <v>950</v>
      </c>
      <c r="C152" s="7" t="s">
        <v>963</v>
      </c>
      <c r="D152" s="7" t="s">
        <v>46</v>
      </c>
      <c r="E152" s="7" t="s">
        <v>107</v>
      </c>
      <c r="F152" s="7" t="s">
        <v>52</v>
      </c>
      <c r="G152" s="11" t="s">
        <v>57</v>
      </c>
      <c r="H152" s="11" t="s">
        <v>55</v>
      </c>
      <c r="I152" s="11" t="s">
        <v>55</v>
      </c>
      <c r="J152" s="7" t="s">
        <v>55</v>
      </c>
      <c r="K152" s="11" t="s">
        <v>964</v>
      </c>
      <c r="L152" s="14" t="str">
        <f t="shared" si="1"/>
        <v>Não</v>
      </c>
      <c r="M152" s="7"/>
      <c r="N152" s="7"/>
      <c r="O152" s="7" t="s">
        <v>55</v>
      </c>
      <c r="P152" s="7"/>
      <c r="Q152" s="16" t="s">
        <v>55</v>
      </c>
      <c r="R152" s="16" t="s">
        <v>55</v>
      </c>
      <c r="S152" s="16" t="s">
        <v>55</v>
      </c>
      <c r="T152" s="16" t="s">
        <v>55</v>
      </c>
      <c r="U152" s="16" t="s">
        <v>55</v>
      </c>
      <c r="V152" s="16" t="s">
        <v>127</v>
      </c>
      <c r="W152" s="16" t="s">
        <v>965</v>
      </c>
      <c r="X152" s="6"/>
      <c r="Y152" s="6"/>
      <c r="Z152" s="6"/>
    </row>
    <row r="153" ht="29.25" customHeight="1">
      <c r="A153" s="7" t="s">
        <v>966</v>
      </c>
      <c r="B153" s="7" t="s">
        <v>967</v>
      </c>
      <c r="C153" s="7" t="s">
        <v>968</v>
      </c>
      <c r="D153" s="7" t="s">
        <v>46</v>
      </c>
      <c r="E153" s="7" t="s">
        <v>180</v>
      </c>
      <c r="F153" s="7" t="s">
        <v>52</v>
      </c>
      <c r="G153" s="11" t="s">
        <v>55</v>
      </c>
      <c r="H153" s="11" t="s">
        <v>55</v>
      </c>
      <c r="I153" s="11" t="s">
        <v>55</v>
      </c>
      <c r="J153" s="7" t="s">
        <v>55</v>
      </c>
      <c r="K153" s="11" t="s">
        <v>969</v>
      </c>
      <c r="L153" s="14" t="str">
        <f t="shared" si="1"/>
        <v>Não</v>
      </c>
      <c r="M153" s="7"/>
      <c r="N153" s="7"/>
      <c r="O153" s="7" t="s">
        <v>55</v>
      </c>
      <c r="P153" s="7"/>
      <c r="Q153" s="16" t="s">
        <v>55</v>
      </c>
      <c r="R153" s="16" t="s">
        <v>55</v>
      </c>
      <c r="S153" s="16" t="s">
        <v>55</v>
      </c>
      <c r="T153" s="16" t="s">
        <v>55</v>
      </c>
      <c r="U153" s="16" t="s">
        <v>55</v>
      </c>
      <c r="V153" s="16" t="s">
        <v>127</v>
      </c>
      <c r="W153" s="16" t="s">
        <v>970</v>
      </c>
      <c r="X153" s="6"/>
      <c r="Y153" s="6"/>
      <c r="Z153" s="6"/>
    </row>
    <row r="154" ht="15.0" customHeight="1">
      <c r="A154" s="7" t="s">
        <v>971</v>
      </c>
      <c r="B154" s="7" t="s">
        <v>972</v>
      </c>
      <c r="C154" s="7" t="s">
        <v>973</v>
      </c>
      <c r="D154" s="7" t="s">
        <v>46</v>
      </c>
      <c r="E154" s="7" t="s">
        <v>165</v>
      </c>
      <c r="F154" s="7" t="s">
        <v>52</v>
      </c>
      <c r="G154" s="11" t="s">
        <v>55</v>
      </c>
      <c r="H154" s="11" t="s">
        <v>55</v>
      </c>
      <c r="I154" s="11" t="s">
        <v>55</v>
      </c>
      <c r="J154" s="7" t="s">
        <v>55</v>
      </c>
      <c r="K154" s="7"/>
      <c r="L154" s="14" t="str">
        <f t="shared" si="1"/>
        <v>Sim</v>
      </c>
      <c r="M154" s="11" t="s">
        <v>87</v>
      </c>
      <c r="N154" s="7"/>
      <c r="O154" s="7" t="s">
        <v>55</v>
      </c>
      <c r="P154" s="7"/>
      <c r="Q154" s="16" t="s">
        <v>55</v>
      </c>
      <c r="R154" s="16" t="s">
        <v>55</v>
      </c>
      <c r="S154" s="16" t="s">
        <v>55</v>
      </c>
      <c r="T154" s="16" t="s">
        <v>55</v>
      </c>
      <c r="U154" s="16" t="s">
        <v>55</v>
      </c>
      <c r="V154" s="16" t="s">
        <v>127</v>
      </c>
      <c r="W154" s="16"/>
      <c r="X154" s="6"/>
      <c r="Y154" s="6"/>
      <c r="Z154" s="6"/>
    </row>
    <row r="155" ht="15.0" customHeight="1">
      <c r="A155" s="7" t="s">
        <v>974</v>
      </c>
      <c r="B155" s="7" t="s">
        <v>975</v>
      </c>
      <c r="C155" s="7" t="s">
        <v>976</v>
      </c>
      <c r="D155" s="7" t="s">
        <v>46</v>
      </c>
      <c r="E155" s="7" t="s">
        <v>165</v>
      </c>
      <c r="F155" s="7" t="s">
        <v>52</v>
      </c>
      <c r="G155" s="11" t="s">
        <v>55</v>
      </c>
      <c r="H155" s="11" t="s">
        <v>55</v>
      </c>
      <c r="I155" s="11" t="s">
        <v>55</v>
      </c>
      <c r="J155" s="7" t="s">
        <v>55</v>
      </c>
      <c r="K155" s="11" t="s">
        <v>977</v>
      </c>
      <c r="L155" s="14" t="str">
        <f t="shared" si="1"/>
        <v>Não</v>
      </c>
      <c r="M155" s="7"/>
      <c r="N155" s="7"/>
      <c r="O155" s="7" t="s">
        <v>55</v>
      </c>
      <c r="P155" s="7"/>
      <c r="Q155" s="16" t="s">
        <v>55</v>
      </c>
      <c r="R155" s="16" t="s">
        <v>55</v>
      </c>
      <c r="S155" s="16" t="s">
        <v>55</v>
      </c>
      <c r="T155" s="16" t="s">
        <v>55</v>
      </c>
      <c r="U155" s="16" t="s">
        <v>55</v>
      </c>
      <c r="V155" s="16" t="s">
        <v>127</v>
      </c>
      <c r="W155" s="16" t="s">
        <v>978</v>
      </c>
      <c r="X155" s="6"/>
      <c r="Y155" s="6"/>
      <c r="Z155" s="6"/>
    </row>
    <row r="156" ht="15.0" customHeight="1">
      <c r="A156" s="7" t="s">
        <v>979</v>
      </c>
      <c r="B156" s="7" t="s">
        <v>980</v>
      </c>
      <c r="C156" s="7" t="s">
        <v>981</v>
      </c>
      <c r="D156" s="7" t="s">
        <v>46</v>
      </c>
      <c r="E156" s="7" t="s">
        <v>165</v>
      </c>
      <c r="F156" s="7" t="s">
        <v>52</v>
      </c>
      <c r="G156" s="11" t="s">
        <v>55</v>
      </c>
      <c r="H156" s="11" t="s">
        <v>55</v>
      </c>
      <c r="I156" s="11" t="s">
        <v>55</v>
      </c>
      <c r="J156" s="7" t="s">
        <v>55</v>
      </c>
      <c r="K156" s="7"/>
      <c r="L156" s="14" t="str">
        <f t="shared" si="1"/>
        <v>Sim</v>
      </c>
      <c r="M156" s="7"/>
      <c r="N156" s="7"/>
      <c r="O156" s="7" t="s">
        <v>55</v>
      </c>
      <c r="P156" s="7"/>
      <c r="Q156" s="16" t="s">
        <v>55</v>
      </c>
      <c r="R156" s="16" t="s">
        <v>55</v>
      </c>
      <c r="S156" s="16" t="s">
        <v>55</v>
      </c>
      <c r="T156" s="16" t="s">
        <v>55</v>
      </c>
      <c r="U156" s="16" t="s">
        <v>55</v>
      </c>
      <c r="V156" s="16" t="s">
        <v>127</v>
      </c>
      <c r="W156" s="16"/>
      <c r="X156" s="6"/>
      <c r="Y156" s="6"/>
      <c r="Z156" s="6"/>
    </row>
    <row r="157" ht="30.75" customHeight="1">
      <c r="A157" s="7" t="s">
        <v>985</v>
      </c>
      <c r="B157" s="7" t="s">
        <v>987</v>
      </c>
      <c r="C157" s="7" t="s">
        <v>989</v>
      </c>
      <c r="D157" s="7" t="s">
        <v>46</v>
      </c>
      <c r="E157" s="7" t="s">
        <v>138</v>
      </c>
      <c r="F157" s="7" t="s">
        <v>52</v>
      </c>
      <c r="G157" s="11" t="s">
        <v>55</v>
      </c>
      <c r="H157" s="11" t="s">
        <v>55</v>
      </c>
      <c r="I157" s="11" t="s">
        <v>55</v>
      </c>
      <c r="J157" s="7" t="s">
        <v>55</v>
      </c>
      <c r="K157" s="11" t="s">
        <v>991</v>
      </c>
      <c r="L157" s="14" t="str">
        <f t="shared" si="1"/>
        <v>Não</v>
      </c>
      <c r="M157" s="7"/>
      <c r="N157" s="7"/>
      <c r="O157" s="7" t="s">
        <v>55</v>
      </c>
      <c r="P157" s="7"/>
      <c r="Q157" s="16" t="s">
        <v>55</v>
      </c>
      <c r="R157" s="16" t="s">
        <v>55</v>
      </c>
      <c r="S157" s="16" t="s">
        <v>55</v>
      </c>
      <c r="T157" s="16" t="s">
        <v>55</v>
      </c>
      <c r="U157" s="16" t="s">
        <v>55</v>
      </c>
      <c r="V157" s="16" t="s">
        <v>127</v>
      </c>
      <c r="W157" s="16" t="s">
        <v>995</v>
      </c>
      <c r="X157" s="6"/>
      <c r="Y157" s="6"/>
      <c r="Z157" s="6"/>
    </row>
    <row r="158" ht="29.25" customHeight="1">
      <c r="A158" s="7" t="s">
        <v>996</v>
      </c>
      <c r="B158" s="7" t="s">
        <v>997</v>
      </c>
      <c r="C158" s="7" t="s">
        <v>998</v>
      </c>
      <c r="D158" s="7" t="s">
        <v>46</v>
      </c>
      <c r="E158" s="7" t="s">
        <v>180</v>
      </c>
      <c r="F158" s="7" t="s">
        <v>52</v>
      </c>
      <c r="G158" s="11" t="s">
        <v>55</v>
      </c>
      <c r="H158" s="11" t="s">
        <v>55</v>
      </c>
      <c r="I158" s="11" t="s">
        <v>55</v>
      </c>
      <c r="J158" s="7" t="s">
        <v>55</v>
      </c>
      <c r="K158" s="11" t="s">
        <v>999</v>
      </c>
      <c r="L158" s="14" t="str">
        <f t="shared" si="1"/>
        <v>Não</v>
      </c>
      <c r="M158" s="7"/>
      <c r="N158" s="7"/>
      <c r="O158" s="7" t="s">
        <v>55</v>
      </c>
      <c r="P158" s="7"/>
      <c r="Q158" s="16" t="s">
        <v>55</v>
      </c>
      <c r="R158" s="16" t="s">
        <v>55</v>
      </c>
      <c r="S158" s="16" t="s">
        <v>55</v>
      </c>
      <c r="T158" s="16" t="s">
        <v>55</v>
      </c>
      <c r="U158" s="16" t="s">
        <v>55</v>
      </c>
      <c r="V158" s="16" t="s">
        <v>127</v>
      </c>
      <c r="W158" s="16" t="s">
        <v>1000</v>
      </c>
      <c r="X158" s="6"/>
      <c r="Y158" s="6"/>
      <c r="Z158" s="6"/>
    </row>
    <row r="159" ht="28.5" customHeight="1">
      <c r="A159" s="7" t="s">
        <v>1001</v>
      </c>
      <c r="B159" s="7" t="s">
        <v>1002</v>
      </c>
      <c r="C159" s="7" t="s">
        <v>1003</v>
      </c>
      <c r="D159" s="7" t="s">
        <v>46</v>
      </c>
      <c r="E159" s="7" t="s">
        <v>180</v>
      </c>
      <c r="F159" s="7" t="s">
        <v>52</v>
      </c>
      <c r="G159" s="11" t="s">
        <v>55</v>
      </c>
      <c r="H159" s="11" t="s">
        <v>55</v>
      </c>
      <c r="I159" s="11" t="s">
        <v>55</v>
      </c>
      <c r="J159" s="7" t="s">
        <v>55</v>
      </c>
      <c r="K159" s="11" t="s">
        <v>1004</v>
      </c>
      <c r="L159" s="14" t="str">
        <f t="shared" si="1"/>
        <v>Não</v>
      </c>
      <c r="M159" s="7"/>
      <c r="N159" s="7"/>
      <c r="O159" s="7" t="s">
        <v>55</v>
      </c>
      <c r="P159" s="7"/>
      <c r="Q159" s="16" t="s">
        <v>55</v>
      </c>
      <c r="R159" s="16" t="s">
        <v>55</v>
      </c>
      <c r="S159" s="16" t="s">
        <v>55</v>
      </c>
      <c r="T159" s="16" t="s">
        <v>55</v>
      </c>
      <c r="U159" s="16" t="s">
        <v>55</v>
      </c>
      <c r="V159" s="16" t="s">
        <v>127</v>
      </c>
      <c r="W159" s="16" t="s">
        <v>1005</v>
      </c>
      <c r="X159" s="6"/>
      <c r="Y159" s="6"/>
      <c r="Z159" s="6"/>
    </row>
    <row r="160" ht="30.0" customHeight="1">
      <c r="A160" s="7" t="s">
        <v>1007</v>
      </c>
      <c r="B160" s="7" t="s">
        <v>1008</v>
      </c>
      <c r="C160" s="7" t="s">
        <v>1009</v>
      </c>
      <c r="D160" s="7" t="s">
        <v>46</v>
      </c>
      <c r="E160" s="7" t="s">
        <v>138</v>
      </c>
      <c r="F160" s="7" t="s">
        <v>52</v>
      </c>
      <c r="G160" s="11" t="s">
        <v>55</v>
      </c>
      <c r="H160" s="11" t="s">
        <v>55</v>
      </c>
      <c r="I160" s="11" t="s">
        <v>55</v>
      </c>
      <c r="J160" s="7" t="s">
        <v>55</v>
      </c>
      <c r="K160" s="11" t="s">
        <v>1010</v>
      </c>
      <c r="L160" s="14" t="str">
        <f t="shared" si="1"/>
        <v>Não</v>
      </c>
      <c r="M160" s="7"/>
      <c r="N160" s="7"/>
      <c r="O160" s="7" t="s">
        <v>55</v>
      </c>
      <c r="P160" s="7"/>
      <c r="Q160" s="16" t="s">
        <v>55</v>
      </c>
      <c r="R160" s="16" t="s">
        <v>55</v>
      </c>
      <c r="S160" s="16" t="s">
        <v>55</v>
      </c>
      <c r="T160" s="16" t="s">
        <v>55</v>
      </c>
      <c r="U160" s="16" t="s">
        <v>55</v>
      </c>
      <c r="V160" s="16" t="s">
        <v>127</v>
      </c>
      <c r="W160" s="16" t="s">
        <v>1011</v>
      </c>
      <c r="X160" s="6"/>
      <c r="Y160" s="6"/>
      <c r="Z160" s="6"/>
    </row>
    <row r="161" ht="29.25" customHeight="1">
      <c r="A161" s="7" t="s">
        <v>1012</v>
      </c>
      <c r="B161" s="7" t="s">
        <v>1013</v>
      </c>
      <c r="C161" s="7" t="s">
        <v>1014</v>
      </c>
      <c r="D161" s="7" t="s">
        <v>46</v>
      </c>
      <c r="E161" s="7" t="s">
        <v>48</v>
      </c>
      <c r="F161" s="7" t="s">
        <v>52</v>
      </c>
      <c r="G161" s="11" t="s">
        <v>55</v>
      </c>
      <c r="H161" s="11" t="s">
        <v>55</v>
      </c>
      <c r="I161" s="11" t="s">
        <v>55</v>
      </c>
      <c r="J161" s="7" t="s">
        <v>55</v>
      </c>
      <c r="K161" s="11" t="s">
        <v>1015</v>
      </c>
      <c r="L161" s="14" t="str">
        <f t="shared" si="1"/>
        <v>Não</v>
      </c>
      <c r="M161" s="7"/>
      <c r="N161" s="7"/>
      <c r="O161" s="7" t="s">
        <v>55</v>
      </c>
      <c r="P161" s="7"/>
      <c r="Q161" s="16" t="s">
        <v>55</v>
      </c>
      <c r="R161" s="16" t="s">
        <v>55</v>
      </c>
      <c r="S161" s="16" t="s">
        <v>55</v>
      </c>
      <c r="T161" s="16" t="s">
        <v>55</v>
      </c>
      <c r="U161" s="16" t="s">
        <v>55</v>
      </c>
      <c r="V161" s="16" t="s">
        <v>127</v>
      </c>
      <c r="W161" s="16" t="s">
        <v>1016</v>
      </c>
      <c r="X161" s="6"/>
      <c r="Y161" s="6"/>
      <c r="Z161" s="6"/>
    </row>
    <row r="162" ht="32.25" customHeight="1">
      <c r="A162" s="7" t="s">
        <v>1017</v>
      </c>
      <c r="B162" s="7" t="s">
        <v>1013</v>
      </c>
      <c r="C162" s="7" t="s">
        <v>1018</v>
      </c>
      <c r="D162" s="7" t="s">
        <v>46</v>
      </c>
      <c r="E162" s="7" t="s">
        <v>315</v>
      </c>
      <c r="F162" s="7" t="s">
        <v>52</v>
      </c>
      <c r="G162" s="11" t="s">
        <v>55</v>
      </c>
      <c r="H162" s="11" t="s">
        <v>55</v>
      </c>
      <c r="I162" s="11" t="s">
        <v>55</v>
      </c>
      <c r="J162" s="7" t="s">
        <v>55</v>
      </c>
      <c r="K162" s="11" t="s">
        <v>1019</v>
      </c>
      <c r="L162" s="14" t="str">
        <f t="shared" si="1"/>
        <v>Não</v>
      </c>
      <c r="M162" s="7"/>
      <c r="N162" s="7"/>
      <c r="O162" s="7" t="s">
        <v>55</v>
      </c>
      <c r="P162" s="7"/>
      <c r="Q162" s="16" t="s">
        <v>55</v>
      </c>
      <c r="R162" s="16" t="s">
        <v>55</v>
      </c>
      <c r="S162" s="16" t="s">
        <v>55</v>
      </c>
      <c r="T162" s="16" t="s">
        <v>55</v>
      </c>
      <c r="U162" s="16" t="s">
        <v>55</v>
      </c>
      <c r="V162" s="16" t="s">
        <v>127</v>
      </c>
      <c r="W162" s="16" t="s">
        <v>1020</v>
      </c>
      <c r="X162" s="6"/>
      <c r="Y162" s="6"/>
      <c r="Z162" s="6"/>
    </row>
    <row r="163" ht="29.25" customHeight="1">
      <c r="A163" s="7" t="s">
        <v>1021</v>
      </c>
      <c r="B163" s="7" t="s">
        <v>1022</v>
      </c>
      <c r="C163" s="7" t="s">
        <v>1023</v>
      </c>
      <c r="D163" s="7" t="s">
        <v>46</v>
      </c>
      <c r="E163" s="7" t="s">
        <v>138</v>
      </c>
      <c r="F163" s="7" t="s">
        <v>52</v>
      </c>
      <c r="G163" s="11" t="s">
        <v>55</v>
      </c>
      <c r="H163" s="11" t="s">
        <v>55</v>
      </c>
      <c r="I163" s="11" t="s">
        <v>55</v>
      </c>
      <c r="J163" s="7" t="s">
        <v>55</v>
      </c>
      <c r="K163" s="11" t="s">
        <v>1024</v>
      </c>
      <c r="L163" s="14" t="str">
        <f t="shared" si="1"/>
        <v>Não</v>
      </c>
      <c r="M163" s="7"/>
      <c r="N163" s="7"/>
      <c r="O163" s="7" t="s">
        <v>55</v>
      </c>
      <c r="P163" s="7"/>
      <c r="Q163" s="16" t="s">
        <v>55</v>
      </c>
      <c r="R163" s="16" t="s">
        <v>55</v>
      </c>
      <c r="S163" s="16" t="s">
        <v>55</v>
      </c>
      <c r="T163" s="16" t="s">
        <v>55</v>
      </c>
      <c r="U163" s="16" t="s">
        <v>55</v>
      </c>
      <c r="V163" s="16" t="s">
        <v>127</v>
      </c>
      <c r="W163" s="16" t="s">
        <v>1025</v>
      </c>
      <c r="X163" s="6"/>
      <c r="Y163" s="6"/>
      <c r="Z163" s="6"/>
    </row>
    <row r="164" ht="30.0" customHeight="1">
      <c r="A164" s="7" t="s">
        <v>1026</v>
      </c>
      <c r="B164" s="7" t="s">
        <v>1027</v>
      </c>
      <c r="C164" s="7" t="s">
        <v>1028</v>
      </c>
      <c r="D164" s="7" t="s">
        <v>46</v>
      </c>
      <c r="E164" s="7" t="s">
        <v>138</v>
      </c>
      <c r="F164" s="7" t="s">
        <v>52</v>
      </c>
      <c r="G164" s="11" t="s">
        <v>55</v>
      </c>
      <c r="H164" s="11" t="s">
        <v>55</v>
      </c>
      <c r="I164" s="11" t="s">
        <v>55</v>
      </c>
      <c r="J164" s="7" t="s">
        <v>55</v>
      </c>
      <c r="K164" s="11" t="s">
        <v>1029</v>
      </c>
      <c r="L164" s="14" t="str">
        <f t="shared" si="1"/>
        <v>Não</v>
      </c>
      <c r="M164" s="7"/>
      <c r="N164" s="7"/>
      <c r="O164" s="7" t="s">
        <v>55</v>
      </c>
      <c r="P164" s="7"/>
      <c r="Q164" s="16" t="s">
        <v>55</v>
      </c>
      <c r="R164" s="16" t="s">
        <v>55</v>
      </c>
      <c r="S164" s="16" t="s">
        <v>55</v>
      </c>
      <c r="T164" s="16" t="s">
        <v>55</v>
      </c>
      <c r="U164" s="16" t="s">
        <v>55</v>
      </c>
      <c r="V164" s="16" t="s">
        <v>127</v>
      </c>
      <c r="W164" s="16" t="s">
        <v>1030</v>
      </c>
      <c r="X164" s="6"/>
      <c r="Y164" s="6"/>
      <c r="Z164" s="6"/>
    </row>
    <row r="165" ht="28.5" customHeight="1">
      <c r="A165" s="7" t="s">
        <v>1031</v>
      </c>
      <c r="B165" s="7" t="s">
        <v>1032</v>
      </c>
      <c r="C165" s="7" t="s">
        <v>1033</v>
      </c>
      <c r="D165" s="7" t="s">
        <v>46</v>
      </c>
      <c r="E165" s="7" t="s">
        <v>138</v>
      </c>
      <c r="F165" s="7" t="s">
        <v>52</v>
      </c>
      <c r="G165" s="11" t="s">
        <v>55</v>
      </c>
      <c r="H165" s="11" t="s">
        <v>55</v>
      </c>
      <c r="I165" s="11" t="s">
        <v>55</v>
      </c>
      <c r="J165" s="7" t="s">
        <v>55</v>
      </c>
      <c r="K165" s="11" t="s">
        <v>1034</v>
      </c>
      <c r="L165" s="14" t="str">
        <f t="shared" si="1"/>
        <v>Não</v>
      </c>
      <c r="M165" s="7"/>
      <c r="N165" s="7"/>
      <c r="O165" s="7" t="s">
        <v>55</v>
      </c>
      <c r="P165" s="7"/>
      <c r="Q165" s="16" t="s">
        <v>55</v>
      </c>
      <c r="R165" s="16" t="s">
        <v>55</v>
      </c>
      <c r="S165" s="16" t="s">
        <v>55</v>
      </c>
      <c r="T165" s="16" t="s">
        <v>55</v>
      </c>
      <c r="U165" s="16" t="s">
        <v>55</v>
      </c>
      <c r="V165" s="16" t="s">
        <v>127</v>
      </c>
      <c r="W165" s="16" t="s">
        <v>1035</v>
      </c>
      <c r="X165" s="6"/>
      <c r="Y165" s="6"/>
      <c r="Z165" s="6"/>
    </row>
    <row r="166" ht="30.0" customHeight="1">
      <c r="A166" s="7" t="s">
        <v>1036</v>
      </c>
      <c r="B166" s="7" t="s">
        <v>1037</v>
      </c>
      <c r="C166" s="7" t="s">
        <v>1038</v>
      </c>
      <c r="D166" s="7" t="s">
        <v>46</v>
      </c>
      <c r="E166" s="7" t="s">
        <v>259</v>
      </c>
      <c r="F166" s="7" t="s">
        <v>52</v>
      </c>
      <c r="G166" s="11" t="s">
        <v>55</v>
      </c>
      <c r="H166" s="11" t="s">
        <v>55</v>
      </c>
      <c r="I166" s="11" t="s">
        <v>55</v>
      </c>
      <c r="J166" s="7" t="s">
        <v>55</v>
      </c>
      <c r="K166" s="11" t="s">
        <v>1039</v>
      </c>
      <c r="L166" s="14" t="str">
        <f t="shared" si="1"/>
        <v>Não</v>
      </c>
      <c r="M166" s="7"/>
      <c r="N166" s="7"/>
      <c r="O166" s="7" t="s">
        <v>55</v>
      </c>
      <c r="P166" s="7"/>
      <c r="Q166" s="16" t="s">
        <v>55</v>
      </c>
      <c r="R166" s="16" t="s">
        <v>55</v>
      </c>
      <c r="S166" s="16" t="s">
        <v>55</v>
      </c>
      <c r="T166" s="16" t="s">
        <v>55</v>
      </c>
      <c r="U166" s="16" t="s">
        <v>55</v>
      </c>
      <c r="V166" s="16" t="s">
        <v>127</v>
      </c>
      <c r="W166" s="16" t="s">
        <v>1040</v>
      </c>
      <c r="X166" s="6"/>
      <c r="Y166" s="6"/>
      <c r="Z166" s="6"/>
    </row>
    <row r="167" ht="30.75" customHeight="1">
      <c r="A167" s="7" t="s">
        <v>1041</v>
      </c>
      <c r="B167" s="7" t="s">
        <v>1042</v>
      </c>
      <c r="C167" s="7" t="s">
        <v>1043</v>
      </c>
      <c r="D167" s="7" t="s">
        <v>46</v>
      </c>
      <c r="E167" s="7" t="s">
        <v>315</v>
      </c>
      <c r="F167" s="7" t="s">
        <v>52</v>
      </c>
      <c r="G167" s="11" t="s">
        <v>55</v>
      </c>
      <c r="H167" s="11" t="s">
        <v>55</v>
      </c>
      <c r="I167" s="11" t="s">
        <v>55</v>
      </c>
      <c r="J167" s="7" t="s">
        <v>55</v>
      </c>
      <c r="K167" s="11" t="s">
        <v>1044</v>
      </c>
      <c r="L167" s="14" t="str">
        <f t="shared" si="1"/>
        <v>Não</v>
      </c>
      <c r="M167" s="7"/>
      <c r="N167" s="7"/>
      <c r="O167" s="7" t="s">
        <v>55</v>
      </c>
      <c r="P167" s="7"/>
      <c r="Q167" s="16" t="s">
        <v>55</v>
      </c>
      <c r="R167" s="16" t="s">
        <v>55</v>
      </c>
      <c r="S167" s="16" t="s">
        <v>55</v>
      </c>
      <c r="T167" s="16" t="s">
        <v>55</v>
      </c>
      <c r="U167" s="16" t="s">
        <v>55</v>
      </c>
      <c r="V167" s="16" t="s">
        <v>127</v>
      </c>
      <c r="W167" s="16" t="s">
        <v>1045</v>
      </c>
      <c r="X167" s="6"/>
      <c r="Y167" s="6"/>
      <c r="Z167" s="6"/>
    </row>
    <row r="168" ht="15.0" customHeight="1">
      <c r="A168" s="7" t="s">
        <v>1046</v>
      </c>
      <c r="B168" s="7" t="s">
        <v>1047</v>
      </c>
      <c r="C168" s="7" t="s">
        <v>1048</v>
      </c>
      <c r="D168" s="7" t="s">
        <v>46</v>
      </c>
      <c r="E168" s="7" t="s">
        <v>85</v>
      </c>
      <c r="F168" s="7" t="s">
        <v>52</v>
      </c>
      <c r="G168" s="11" t="s">
        <v>55</v>
      </c>
      <c r="H168" s="11" t="s">
        <v>55</v>
      </c>
      <c r="I168" s="11" t="s">
        <v>55</v>
      </c>
      <c r="J168" s="7" t="s">
        <v>55</v>
      </c>
      <c r="K168" s="11" t="s">
        <v>1050</v>
      </c>
      <c r="L168" s="14" t="str">
        <f t="shared" si="1"/>
        <v>Não</v>
      </c>
      <c r="M168" s="7"/>
      <c r="N168" s="7"/>
      <c r="O168" s="7" t="s">
        <v>55</v>
      </c>
      <c r="P168" s="7"/>
      <c r="Q168" s="16" t="s">
        <v>55</v>
      </c>
      <c r="R168" s="16" t="s">
        <v>55</v>
      </c>
      <c r="S168" s="16" t="s">
        <v>55</v>
      </c>
      <c r="T168" s="16" t="s">
        <v>55</v>
      </c>
      <c r="U168" s="16" t="s">
        <v>55</v>
      </c>
      <c r="V168" s="16" t="s">
        <v>127</v>
      </c>
      <c r="W168" s="16" t="s">
        <v>1053</v>
      </c>
      <c r="X168" s="6"/>
      <c r="Y168" s="6"/>
      <c r="Z168" s="6"/>
    </row>
    <row r="169" ht="30.75" customHeight="1">
      <c r="A169" s="7" t="s">
        <v>1054</v>
      </c>
      <c r="B169" s="7" t="s">
        <v>1055</v>
      </c>
      <c r="C169" s="7" t="s">
        <v>1057</v>
      </c>
      <c r="D169" s="7" t="s">
        <v>46</v>
      </c>
      <c r="E169" s="7" t="s">
        <v>138</v>
      </c>
      <c r="F169" s="7" t="s">
        <v>52</v>
      </c>
      <c r="G169" s="11" t="s">
        <v>55</v>
      </c>
      <c r="H169" s="11" t="s">
        <v>55</v>
      </c>
      <c r="I169" s="11" t="s">
        <v>55</v>
      </c>
      <c r="J169" s="7" t="s">
        <v>55</v>
      </c>
      <c r="K169" s="11" t="s">
        <v>1059</v>
      </c>
      <c r="L169" s="14" t="str">
        <f t="shared" si="1"/>
        <v>Não</v>
      </c>
      <c r="M169" s="7"/>
      <c r="N169" s="7"/>
      <c r="O169" s="7" t="s">
        <v>55</v>
      </c>
      <c r="P169" s="7"/>
      <c r="Q169" s="16" t="s">
        <v>55</v>
      </c>
      <c r="R169" s="16" t="s">
        <v>55</v>
      </c>
      <c r="S169" s="16" t="s">
        <v>55</v>
      </c>
      <c r="T169" s="16" t="s">
        <v>55</v>
      </c>
      <c r="U169" s="16" t="s">
        <v>55</v>
      </c>
      <c r="V169" s="16" t="s">
        <v>127</v>
      </c>
      <c r="W169" s="16" t="s">
        <v>1062</v>
      </c>
      <c r="X169" s="6"/>
      <c r="Y169" s="6"/>
      <c r="Z169" s="6"/>
    </row>
    <row r="170" ht="30.75" customHeight="1">
      <c r="A170" s="7" t="s">
        <v>1063</v>
      </c>
      <c r="B170" s="7" t="s">
        <v>1064</v>
      </c>
      <c r="C170" s="7" t="s">
        <v>1065</v>
      </c>
      <c r="D170" s="7" t="s">
        <v>46</v>
      </c>
      <c r="E170" s="7" t="s">
        <v>138</v>
      </c>
      <c r="F170" s="7" t="s">
        <v>52</v>
      </c>
      <c r="G170" s="11" t="s">
        <v>55</v>
      </c>
      <c r="H170" s="11" t="s">
        <v>55</v>
      </c>
      <c r="I170" s="11" t="s">
        <v>55</v>
      </c>
      <c r="J170" s="7" t="s">
        <v>55</v>
      </c>
      <c r="K170" s="11" t="s">
        <v>1066</v>
      </c>
      <c r="L170" s="14" t="str">
        <f t="shared" si="1"/>
        <v>Não</v>
      </c>
      <c r="M170" s="7"/>
      <c r="N170" s="7"/>
      <c r="O170" s="7" t="s">
        <v>55</v>
      </c>
      <c r="P170" s="7"/>
      <c r="Q170" s="16" t="s">
        <v>55</v>
      </c>
      <c r="R170" s="16" t="s">
        <v>55</v>
      </c>
      <c r="S170" s="16" t="s">
        <v>55</v>
      </c>
      <c r="T170" s="16" t="s">
        <v>55</v>
      </c>
      <c r="U170" s="16" t="s">
        <v>55</v>
      </c>
      <c r="V170" s="16" t="s">
        <v>127</v>
      </c>
      <c r="W170" s="16" t="s">
        <v>1067</v>
      </c>
      <c r="X170" s="6"/>
      <c r="Y170" s="6"/>
      <c r="Z170" s="6"/>
    </row>
    <row r="171" ht="30.0" customHeight="1">
      <c r="A171" s="7" t="s">
        <v>1068</v>
      </c>
      <c r="B171" s="7" t="s">
        <v>1037</v>
      </c>
      <c r="C171" s="7" t="s">
        <v>1069</v>
      </c>
      <c r="D171" s="7" t="s">
        <v>46</v>
      </c>
      <c r="E171" s="7" t="s">
        <v>48</v>
      </c>
      <c r="F171" s="7" t="s">
        <v>52</v>
      </c>
      <c r="G171" s="11" t="s">
        <v>55</v>
      </c>
      <c r="H171" s="11" t="s">
        <v>55</v>
      </c>
      <c r="I171" s="11" t="s">
        <v>55</v>
      </c>
      <c r="J171" s="7" t="s">
        <v>55</v>
      </c>
      <c r="K171" s="11" t="s">
        <v>1070</v>
      </c>
      <c r="L171" s="14" t="str">
        <f t="shared" si="1"/>
        <v>Não</v>
      </c>
      <c r="M171" s="7"/>
      <c r="N171" s="7"/>
      <c r="O171" s="7" t="s">
        <v>55</v>
      </c>
      <c r="P171" s="7"/>
      <c r="Q171" s="16" t="s">
        <v>55</v>
      </c>
      <c r="R171" s="16" t="s">
        <v>55</v>
      </c>
      <c r="S171" s="16" t="s">
        <v>55</v>
      </c>
      <c r="T171" s="16" t="s">
        <v>55</v>
      </c>
      <c r="U171" s="16" t="s">
        <v>55</v>
      </c>
      <c r="V171" s="16" t="s">
        <v>127</v>
      </c>
      <c r="W171" s="16" t="s">
        <v>1071</v>
      </c>
      <c r="X171" s="6"/>
      <c r="Y171" s="6"/>
      <c r="Z171" s="6"/>
    </row>
    <row r="172" ht="30.0" customHeight="1">
      <c r="A172" s="7" t="s">
        <v>1072</v>
      </c>
      <c r="B172" s="7" t="s">
        <v>1037</v>
      </c>
      <c r="C172" s="7" t="s">
        <v>1073</v>
      </c>
      <c r="D172" s="7" t="s">
        <v>46</v>
      </c>
      <c r="E172" s="7" t="s">
        <v>259</v>
      </c>
      <c r="F172" s="7" t="s">
        <v>52</v>
      </c>
      <c r="G172" s="11" t="s">
        <v>55</v>
      </c>
      <c r="H172" s="11" t="s">
        <v>55</v>
      </c>
      <c r="I172" s="11" t="s">
        <v>55</v>
      </c>
      <c r="J172" s="7" t="s">
        <v>55</v>
      </c>
      <c r="K172" s="11" t="s">
        <v>1074</v>
      </c>
      <c r="L172" s="14" t="str">
        <f t="shared" si="1"/>
        <v>Não</v>
      </c>
      <c r="M172" s="7"/>
      <c r="N172" s="7"/>
      <c r="O172" s="7" t="s">
        <v>55</v>
      </c>
      <c r="P172" s="7"/>
      <c r="Q172" s="16" t="s">
        <v>55</v>
      </c>
      <c r="R172" s="16" t="s">
        <v>55</v>
      </c>
      <c r="S172" s="16" t="s">
        <v>55</v>
      </c>
      <c r="T172" s="16" t="s">
        <v>55</v>
      </c>
      <c r="U172" s="16" t="s">
        <v>55</v>
      </c>
      <c r="V172" s="16" t="s">
        <v>127</v>
      </c>
      <c r="W172" s="16" t="s">
        <v>1076</v>
      </c>
      <c r="X172" s="6"/>
      <c r="Y172" s="6"/>
      <c r="Z172" s="6"/>
    </row>
    <row r="173" ht="30.0" customHeight="1">
      <c r="A173" s="7" t="s">
        <v>1077</v>
      </c>
      <c r="B173" s="7" t="s">
        <v>1078</v>
      </c>
      <c r="C173" s="7" t="s">
        <v>1079</v>
      </c>
      <c r="D173" s="7" t="s">
        <v>46</v>
      </c>
      <c r="E173" s="7" t="s">
        <v>213</v>
      </c>
      <c r="F173" s="7" t="s">
        <v>52</v>
      </c>
      <c r="G173" s="11" t="s">
        <v>55</v>
      </c>
      <c r="H173" s="11" t="s">
        <v>55</v>
      </c>
      <c r="I173" s="11" t="s">
        <v>55</v>
      </c>
      <c r="J173" s="7" t="s">
        <v>55</v>
      </c>
      <c r="K173" s="11" t="s">
        <v>1080</v>
      </c>
      <c r="L173" s="14" t="str">
        <f t="shared" si="1"/>
        <v>Não</v>
      </c>
      <c r="M173" s="7"/>
      <c r="N173" s="7"/>
      <c r="O173" s="7" t="s">
        <v>55</v>
      </c>
      <c r="P173" s="7"/>
      <c r="Q173" s="16" t="s">
        <v>55</v>
      </c>
      <c r="R173" s="16" t="s">
        <v>55</v>
      </c>
      <c r="S173" s="16" t="s">
        <v>55</v>
      </c>
      <c r="T173" s="16" t="s">
        <v>55</v>
      </c>
      <c r="U173" s="16" t="s">
        <v>55</v>
      </c>
      <c r="V173" s="16" t="s">
        <v>127</v>
      </c>
      <c r="W173" s="16" t="s">
        <v>1081</v>
      </c>
      <c r="X173" s="6"/>
      <c r="Y173" s="6"/>
      <c r="Z173" s="6"/>
    </row>
    <row r="174" ht="30.0" customHeight="1">
      <c r="A174" s="7" t="s">
        <v>1082</v>
      </c>
      <c r="B174" s="7" t="s">
        <v>1064</v>
      </c>
      <c r="C174" s="7" t="s">
        <v>1083</v>
      </c>
      <c r="D174" s="7" t="s">
        <v>46</v>
      </c>
      <c r="E174" s="7" t="s">
        <v>138</v>
      </c>
      <c r="F174" s="7" t="s">
        <v>52</v>
      </c>
      <c r="G174" s="11" t="s">
        <v>55</v>
      </c>
      <c r="H174" s="11" t="s">
        <v>55</v>
      </c>
      <c r="I174" s="11" t="s">
        <v>55</v>
      </c>
      <c r="J174" s="7" t="s">
        <v>55</v>
      </c>
      <c r="K174" s="11" t="s">
        <v>1084</v>
      </c>
      <c r="L174" s="14" t="str">
        <f t="shared" si="1"/>
        <v>Não</v>
      </c>
      <c r="M174" s="7"/>
      <c r="N174" s="7"/>
      <c r="O174" s="7" t="s">
        <v>55</v>
      </c>
      <c r="P174" s="7"/>
      <c r="Q174" s="16" t="s">
        <v>55</v>
      </c>
      <c r="R174" s="16" t="s">
        <v>55</v>
      </c>
      <c r="S174" s="16" t="s">
        <v>55</v>
      </c>
      <c r="T174" s="16" t="s">
        <v>55</v>
      </c>
      <c r="U174" s="16" t="s">
        <v>55</v>
      </c>
      <c r="V174" s="16" t="s">
        <v>127</v>
      </c>
      <c r="W174" s="16" t="s">
        <v>1085</v>
      </c>
      <c r="X174" s="6"/>
      <c r="Y174" s="6"/>
      <c r="Z174" s="6"/>
    </row>
    <row r="175" ht="28.5" customHeight="1">
      <c r="A175" s="7" t="s">
        <v>1086</v>
      </c>
      <c r="B175" s="7" t="s">
        <v>1055</v>
      </c>
      <c r="C175" s="7" t="s">
        <v>1087</v>
      </c>
      <c r="D175" s="7" t="s">
        <v>46</v>
      </c>
      <c r="E175" s="7" t="s">
        <v>180</v>
      </c>
      <c r="F175" s="7" t="s">
        <v>52</v>
      </c>
      <c r="G175" s="11" t="s">
        <v>55</v>
      </c>
      <c r="H175" s="11" t="s">
        <v>55</v>
      </c>
      <c r="I175" s="11" t="s">
        <v>55</v>
      </c>
      <c r="J175" s="7" t="s">
        <v>55</v>
      </c>
      <c r="K175" s="11" t="s">
        <v>1088</v>
      </c>
      <c r="L175" s="14" t="str">
        <f t="shared" si="1"/>
        <v>Não</v>
      </c>
      <c r="M175" s="7"/>
      <c r="N175" s="7"/>
      <c r="O175" s="7" t="s">
        <v>55</v>
      </c>
      <c r="P175" s="7"/>
      <c r="Q175" s="16" t="s">
        <v>55</v>
      </c>
      <c r="R175" s="16" t="s">
        <v>55</v>
      </c>
      <c r="S175" s="16" t="s">
        <v>55</v>
      </c>
      <c r="T175" s="16" t="s">
        <v>55</v>
      </c>
      <c r="U175" s="16" t="s">
        <v>55</v>
      </c>
      <c r="V175" s="16" t="s">
        <v>127</v>
      </c>
      <c r="W175" s="16" t="s">
        <v>1089</v>
      </c>
      <c r="X175" s="6"/>
      <c r="Y175" s="6"/>
      <c r="Z175" s="6"/>
    </row>
    <row r="176" ht="28.5" customHeight="1">
      <c r="A176" s="7" t="s">
        <v>1090</v>
      </c>
      <c r="B176" s="7" t="s">
        <v>1037</v>
      </c>
      <c r="C176" s="7" t="s">
        <v>1091</v>
      </c>
      <c r="D176" s="7" t="s">
        <v>46</v>
      </c>
      <c r="E176" s="7" t="s">
        <v>259</v>
      </c>
      <c r="F176" s="7" t="s">
        <v>52</v>
      </c>
      <c r="G176" s="11" t="s">
        <v>55</v>
      </c>
      <c r="H176" s="11" t="s">
        <v>55</v>
      </c>
      <c r="I176" s="11" t="s">
        <v>55</v>
      </c>
      <c r="J176" s="7" t="s">
        <v>55</v>
      </c>
      <c r="K176" s="11" t="s">
        <v>1092</v>
      </c>
      <c r="L176" s="14" t="str">
        <f t="shared" si="1"/>
        <v>Não</v>
      </c>
      <c r="M176" s="7"/>
      <c r="N176" s="7"/>
      <c r="O176" s="7" t="s">
        <v>55</v>
      </c>
      <c r="P176" s="7"/>
      <c r="Q176" s="16" t="s">
        <v>55</v>
      </c>
      <c r="R176" s="16" t="s">
        <v>55</v>
      </c>
      <c r="S176" s="16" t="s">
        <v>55</v>
      </c>
      <c r="T176" s="16" t="s">
        <v>55</v>
      </c>
      <c r="U176" s="16" t="s">
        <v>55</v>
      </c>
      <c r="V176" s="16" t="s">
        <v>127</v>
      </c>
      <c r="W176" s="16" t="s">
        <v>1093</v>
      </c>
      <c r="X176" s="6"/>
      <c r="Y176" s="6"/>
      <c r="Z176" s="6"/>
    </row>
    <row r="177" ht="28.5" customHeight="1">
      <c r="A177" s="7" t="s">
        <v>1094</v>
      </c>
      <c r="B177" s="7" t="s">
        <v>1095</v>
      </c>
      <c r="C177" s="7" t="s">
        <v>1096</v>
      </c>
      <c r="D177" s="7" t="s">
        <v>46</v>
      </c>
      <c r="E177" s="7" t="s">
        <v>315</v>
      </c>
      <c r="F177" s="7" t="s">
        <v>52</v>
      </c>
      <c r="G177" s="11" t="s">
        <v>55</v>
      </c>
      <c r="H177" s="11" t="s">
        <v>55</v>
      </c>
      <c r="I177" s="11" t="s">
        <v>55</v>
      </c>
      <c r="J177" s="7" t="s">
        <v>55</v>
      </c>
      <c r="K177" s="11" t="s">
        <v>1097</v>
      </c>
      <c r="L177" s="14" t="str">
        <f t="shared" si="1"/>
        <v>Não</v>
      </c>
      <c r="M177" s="7"/>
      <c r="N177" s="7"/>
      <c r="O177" s="7" t="s">
        <v>55</v>
      </c>
      <c r="P177" s="7"/>
      <c r="Q177" s="16" t="s">
        <v>55</v>
      </c>
      <c r="R177" s="16" t="s">
        <v>55</v>
      </c>
      <c r="S177" s="16" t="s">
        <v>55</v>
      </c>
      <c r="T177" s="16" t="s">
        <v>55</v>
      </c>
      <c r="U177" s="16" t="s">
        <v>55</v>
      </c>
      <c r="V177" s="16" t="s">
        <v>127</v>
      </c>
      <c r="W177" s="16" t="s">
        <v>1098</v>
      </c>
      <c r="X177" s="6"/>
      <c r="Y177" s="6"/>
      <c r="Z177" s="6"/>
    </row>
    <row r="178" ht="29.25" customHeight="1">
      <c r="A178" s="7" t="s">
        <v>1099</v>
      </c>
      <c r="B178" s="7" t="s">
        <v>1100</v>
      </c>
      <c r="C178" s="7" t="s">
        <v>1101</v>
      </c>
      <c r="D178" s="7" t="s">
        <v>46</v>
      </c>
      <c r="E178" s="7" t="s">
        <v>107</v>
      </c>
      <c r="F178" s="7" t="s">
        <v>52</v>
      </c>
      <c r="G178" s="11" t="s">
        <v>55</v>
      </c>
      <c r="H178" s="11" t="s">
        <v>55</v>
      </c>
      <c r="I178" s="11" t="s">
        <v>55</v>
      </c>
      <c r="J178" s="7" t="s">
        <v>55</v>
      </c>
      <c r="K178" s="11" t="s">
        <v>1102</v>
      </c>
      <c r="L178" s="14" t="str">
        <f t="shared" si="1"/>
        <v>Não</v>
      </c>
      <c r="M178" s="7"/>
      <c r="N178" s="7"/>
      <c r="O178" s="7" t="s">
        <v>55</v>
      </c>
      <c r="P178" s="7"/>
      <c r="Q178" s="16" t="s">
        <v>55</v>
      </c>
      <c r="R178" s="16" t="s">
        <v>55</v>
      </c>
      <c r="S178" s="16" t="s">
        <v>55</v>
      </c>
      <c r="T178" s="16" t="s">
        <v>55</v>
      </c>
      <c r="U178" s="16" t="s">
        <v>55</v>
      </c>
      <c r="V178" s="16" t="s">
        <v>184</v>
      </c>
      <c r="W178" s="16" t="s">
        <v>1103</v>
      </c>
      <c r="X178" s="6"/>
      <c r="Y178" s="6"/>
      <c r="Z178" s="6"/>
    </row>
    <row r="179" ht="29.25" customHeight="1">
      <c r="A179" s="7" t="s">
        <v>1104</v>
      </c>
      <c r="B179" s="7" t="s">
        <v>1105</v>
      </c>
      <c r="C179" s="7" t="s">
        <v>1106</v>
      </c>
      <c r="D179" s="7" t="s">
        <v>46</v>
      </c>
      <c r="E179" s="7" t="s">
        <v>267</v>
      </c>
      <c r="F179" s="7" t="s">
        <v>52</v>
      </c>
      <c r="G179" s="11" t="s">
        <v>55</v>
      </c>
      <c r="H179" s="11" t="s">
        <v>55</v>
      </c>
      <c r="I179" s="11" t="s">
        <v>55</v>
      </c>
      <c r="J179" s="7" t="s">
        <v>55</v>
      </c>
      <c r="K179" s="11" t="s">
        <v>1107</v>
      </c>
      <c r="L179" s="14" t="str">
        <f t="shared" si="1"/>
        <v>Não</v>
      </c>
      <c r="M179" s="7"/>
      <c r="N179" s="7"/>
      <c r="O179" s="7" t="s">
        <v>55</v>
      </c>
      <c r="P179" s="7"/>
      <c r="Q179" s="16" t="s">
        <v>55</v>
      </c>
      <c r="R179" s="16" t="s">
        <v>55</v>
      </c>
      <c r="S179" s="16" t="s">
        <v>55</v>
      </c>
      <c r="T179" s="16" t="s">
        <v>55</v>
      </c>
      <c r="U179" s="16" t="s">
        <v>55</v>
      </c>
      <c r="V179" s="16" t="s">
        <v>127</v>
      </c>
      <c r="W179" s="16" t="s">
        <v>1111</v>
      </c>
      <c r="X179" s="6"/>
      <c r="Y179" s="6"/>
      <c r="Z179" s="6"/>
    </row>
    <row r="180" ht="27.75" customHeight="1">
      <c r="A180" s="7" t="s">
        <v>1112</v>
      </c>
      <c r="B180" s="7" t="s">
        <v>1055</v>
      </c>
      <c r="C180" s="7" t="s">
        <v>1115</v>
      </c>
      <c r="D180" s="7" t="s">
        <v>46</v>
      </c>
      <c r="E180" s="7" t="s">
        <v>315</v>
      </c>
      <c r="F180" s="7" t="s">
        <v>52</v>
      </c>
      <c r="G180" s="11" t="s">
        <v>55</v>
      </c>
      <c r="H180" s="11" t="s">
        <v>55</v>
      </c>
      <c r="I180" s="11" t="s">
        <v>55</v>
      </c>
      <c r="J180" s="7" t="s">
        <v>55</v>
      </c>
      <c r="K180" s="11" t="s">
        <v>1118</v>
      </c>
      <c r="L180" s="14" t="str">
        <f t="shared" si="1"/>
        <v>Não</v>
      </c>
      <c r="M180" s="7"/>
      <c r="N180" s="7"/>
      <c r="O180" s="7" t="s">
        <v>55</v>
      </c>
      <c r="P180" s="7"/>
      <c r="Q180" s="16" t="s">
        <v>55</v>
      </c>
      <c r="R180" s="16" t="s">
        <v>55</v>
      </c>
      <c r="S180" s="16" t="s">
        <v>55</v>
      </c>
      <c r="T180" s="16" t="s">
        <v>55</v>
      </c>
      <c r="U180" s="16" t="s">
        <v>55</v>
      </c>
      <c r="V180" s="16" t="s">
        <v>127</v>
      </c>
      <c r="W180" s="16" t="s">
        <v>1120</v>
      </c>
      <c r="X180" s="6"/>
      <c r="Y180" s="6"/>
      <c r="Z180" s="6"/>
    </row>
    <row r="181" ht="29.25" customHeight="1">
      <c r="A181" s="7" t="s">
        <v>1121</v>
      </c>
      <c r="B181" s="7" t="s">
        <v>1047</v>
      </c>
      <c r="C181" s="7" t="s">
        <v>1122</v>
      </c>
      <c r="D181" s="7" t="s">
        <v>46</v>
      </c>
      <c r="E181" s="7" t="s">
        <v>267</v>
      </c>
      <c r="F181" s="7" t="s">
        <v>52</v>
      </c>
      <c r="G181" s="11" t="s">
        <v>55</v>
      </c>
      <c r="H181" s="11" t="s">
        <v>55</v>
      </c>
      <c r="I181" s="11" t="s">
        <v>55</v>
      </c>
      <c r="J181" s="7" t="s">
        <v>55</v>
      </c>
      <c r="K181" s="11" t="s">
        <v>1123</v>
      </c>
      <c r="L181" s="14" t="str">
        <f t="shared" si="1"/>
        <v>Não</v>
      </c>
      <c r="M181" s="7"/>
      <c r="N181" s="7"/>
      <c r="O181" s="7" t="s">
        <v>55</v>
      </c>
      <c r="P181" s="7"/>
      <c r="Q181" s="16" t="s">
        <v>55</v>
      </c>
      <c r="R181" s="16" t="s">
        <v>55</v>
      </c>
      <c r="S181" s="16" t="s">
        <v>55</v>
      </c>
      <c r="T181" s="16" t="s">
        <v>55</v>
      </c>
      <c r="U181" s="16" t="s">
        <v>55</v>
      </c>
      <c r="V181" s="16" t="s">
        <v>127</v>
      </c>
      <c r="W181" s="16" t="s">
        <v>1124</v>
      </c>
      <c r="X181" s="6"/>
      <c r="Y181" s="6"/>
      <c r="Z181" s="6"/>
    </row>
    <row r="182" ht="30.75" customHeight="1">
      <c r="A182" s="7" t="s">
        <v>1125</v>
      </c>
      <c r="B182" s="7" t="s">
        <v>1047</v>
      </c>
      <c r="C182" s="7" t="s">
        <v>1126</v>
      </c>
      <c r="D182" s="7" t="s">
        <v>46</v>
      </c>
      <c r="E182" s="7" t="s">
        <v>267</v>
      </c>
      <c r="F182" s="7" t="s">
        <v>52</v>
      </c>
      <c r="G182" s="11" t="s">
        <v>55</v>
      </c>
      <c r="H182" s="11" t="s">
        <v>55</v>
      </c>
      <c r="I182" s="11" t="s">
        <v>55</v>
      </c>
      <c r="J182" s="7" t="s">
        <v>55</v>
      </c>
      <c r="K182" s="11" t="s">
        <v>1128</v>
      </c>
      <c r="L182" s="14" t="str">
        <f t="shared" si="1"/>
        <v>Não</v>
      </c>
      <c r="M182" s="7"/>
      <c r="N182" s="7"/>
      <c r="O182" s="7" t="s">
        <v>55</v>
      </c>
      <c r="P182" s="7"/>
      <c r="Q182" s="16" t="s">
        <v>55</v>
      </c>
      <c r="R182" s="16" t="s">
        <v>55</v>
      </c>
      <c r="S182" s="16" t="s">
        <v>55</v>
      </c>
      <c r="T182" s="16" t="s">
        <v>55</v>
      </c>
      <c r="U182" s="16" t="s">
        <v>55</v>
      </c>
      <c r="V182" s="16" t="s">
        <v>127</v>
      </c>
      <c r="W182" s="16" t="s">
        <v>1129</v>
      </c>
      <c r="X182" s="6"/>
      <c r="Y182" s="6"/>
      <c r="Z182" s="6"/>
    </row>
    <row r="183" ht="15.0" customHeight="1">
      <c r="A183" s="7" t="s">
        <v>1130</v>
      </c>
      <c r="B183" s="7" t="s">
        <v>1047</v>
      </c>
      <c r="C183" s="7" t="s">
        <v>1131</v>
      </c>
      <c r="D183" s="7" t="s">
        <v>46</v>
      </c>
      <c r="E183" s="7" t="s">
        <v>148</v>
      </c>
      <c r="F183" s="7" t="s">
        <v>52</v>
      </c>
      <c r="G183" s="11" t="s">
        <v>55</v>
      </c>
      <c r="H183" s="11" t="s">
        <v>55</v>
      </c>
      <c r="I183" s="11" t="s">
        <v>55</v>
      </c>
      <c r="J183" s="7" t="s">
        <v>55</v>
      </c>
      <c r="K183" s="11" t="s">
        <v>1132</v>
      </c>
      <c r="L183" s="14" t="str">
        <f t="shared" si="1"/>
        <v>Não</v>
      </c>
      <c r="M183" s="7"/>
      <c r="N183" s="7"/>
      <c r="O183" s="7" t="s">
        <v>55</v>
      </c>
      <c r="P183" s="7"/>
      <c r="Q183" s="16" t="s">
        <v>55</v>
      </c>
      <c r="R183" s="16" t="s">
        <v>55</v>
      </c>
      <c r="S183" s="16" t="s">
        <v>55</v>
      </c>
      <c r="T183" s="16" t="s">
        <v>55</v>
      </c>
      <c r="U183" s="16" t="s">
        <v>55</v>
      </c>
      <c r="V183" s="16" t="s">
        <v>127</v>
      </c>
      <c r="W183" s="16" t="s">
        <v>1133</v>
      </c>
      <c r="X183" s="6"/>
      <c r="Y183" s="6"/>
      <c r="Z183" s="6"/>
    </row>
    <row r="184" ht="27.75" customHeight="1">
      <c r="A184" s="7" t="s">
        <v>1134</v>
      </c>
      <c r="B184" s="7" t="s">
        <v>1135</v>
      </c>
      <c r="C184" s="7" t="s">
        <v>1136</v>
      </c>
      <c r="D184" s="7" t="s">
        <v>46</v>
      </c>
      <c r="E184" s="7" t="s">
        <v>85</v>
      </c>
      <c r="F184" s="7" t="s">
        <v>52</v>
      </c>
      <c r="G184" s="11" t="s">
        <v>55</v>
      </c>
      <c r="H184" s="11" t="s">
        <v>55</v>
      </c>
      <c r="I184" s="11" t="s">
        <v>55</v>
      </c>
      <c r="J184" s="7" t="s">
        <v>55</v>
      </c>
      <c r="K184" s="11" t="s">
        <v>1137</v>
      </c>
      <c r="L184" s="14" t="str">
        <f t="shared" si="1"/>
        <v>Não</v>
      </c>
      <c r="M184" s="7"/>
      <c r="N184" s="7"/>
      <c r="O184" s="7" t="s">
        <v>55</v>
      </c>
      <c r="P184" s="7"/>
      <c r="Q184" s="16" t="s">
        <v>55</v>
      </c>
      <c r="R184" s="16" t="s">
        <v>55</v>
      </c>
      <c r="S184" s="16" t="s">
        <v>55</v>
      </c>
      <c r="T184" s="16" t="s">
        <v>55</v>
      </c>
      <c r="U184" s="16" t="s">
        <v>55</v>
      </c>
      <c r="V184" s="16" t="s">
        <v>127</v>
      </c>
      <c r="W184" s="16" t="s">
        <v>1138</v>
      </c>
      <c r="X184" s="6"/>
      <c r="Y184" s="6"/>
      <c r="Z184" s="6"/>
    </row>
    <row r="185" ht="30.75" customHeight="1">
      <c r="A185" s="7" t="s">
        <v>1139</v>
      </c>
      <c r="B185" s="7" t="s">
        <v>1140</v>
      </c>
      <c r="C185" s="7" t="s">
        <v>1141</v>
      </c>
      <c r="D185" s="7" t="s">
        <v>46</v>
      </c>
      <c r="E185" s="7" t="s">
        <v>138</v>
      </c>
      <c r="F185" s="7" t="s">
        <v>52</v>
      </c>
      <c r="G185" s="11" t="s">
        <v>55</v>
      </c>
      <c r="H185" s="11" t="s">
        <v>55</v>
      </c>
      <c r="I185" s="11" t="s">
        <v>55</v>
      </c>
      <c r="J185" s="7" t="s">
        <v>55</v>
      </c>
      <c r="K185" s="11" t="s">
        <v>1107</v>
      </c>
      <c r="L185" s="14" t="str">
        <f t="shared" si="1"/>
        <v>Não</v>
      </c>
      <c r="M185" s="7"/>
      <c r="N185" s="7"/>
      <c r="O185" s="7" t="s">
        <v>55</v>
      </c>
      <c r="P185" s="7"/>
      <c r="Q185" s="16" t="s">
        <v>55</v>
      </c>
      <c r="R185" s="16" t="s">
        <v>55</v>
      </c>
      <c r="S185" s="16" t="s">
        <v>55</v>
      </c>
      <c r="T185" s="16" t="s">
        <v>55</v>
      </c>
      <c r="U185" s="16" t="s">
        <v>55</v>
      </c>
      <c r="V185" s="16" t="s">
        <v>127</v>
      </c>
      <c r="W185" s="16" t="s">
        <v>1142</v>
      </c>
      <c r="X185" s="6"/>
      <c r="Y185" s="6"/>
      <c r="Z185" s="6"/>
    </row>
    <row r="186" ht="29.25" customHeight="1">
      <c r="A186" s="7" t="s">
        <v>1143</v>
      </c>
      <c r="B186" s="7" t="s">
        <v>1105</v>
      </c>
      <c r="C186" s="7" t="s">
        <v>1144</v>
      </c>
      <c r="D186" s="7" t="s">
        <v>46</v>
      </c>
      <c r="E186" s="7" t="s">
        <v>138</v>
      </c>
      <c r="F186" s="7" t="s">
        <v>52</v>
      </c>
      <c r="G186" s="11" t="s">
        <v>55</v>
      </c>
      <c r="H186" s="11" t="s">
        <v>55</v>
      </c>
      <c r="I186" s="11" t="s">
        <v>55</v>
      </c>
      <c r="J186" s="7" t="s">
        <v>55</v>
      </c>
      <c r="K186" s="11" t="s">
        <v>1145</v>
      </c>
      <c r="L186" s="14" t="str">
        <f t="shared" si="1"/>
        <v>Não</v>
      </c>
      <c r="M186" s="7"/>
      <c r="N186" s="7"/>
      <c r="O186" s="7" t="s">
        <v>55</v>
      </c>
      <c r="P186" s="7"/>
      <c r="Q186" s="16" t="s">
        <v>55</v>
      </c>
      <c r="R186" s="16" t="s">
        <v>55</v>
      </c>
      <c r="S186" s="16" t="s">
        <v>55</v>
      </c>
      <c r="T186" s="16" t="s">
        <v>55</v>
      </c>
      <c r="U186" s="16" t="s">
        <v>55</v>
      </c>
      <c r="V186" s="16" t="s">
        <v>127</v>
      </c>
      <c r="W186" s="16" t="s">
        <v>1146</v>
      </c>
      <c r="X186" s="6"/>
      <c r="Y186" s="6"/>
      <c r="Z186" s="6"/>
    </row>
    <row r="187" ht="29.25" customHeight="1">
      <c r="A187" s="7" t="s">
        <v>1147</v>
      </c>
      <c r="B187" s="7" t="s">
        <v>1148</v>
      </c>
      <c r="C187" s="7" t="s">
        <v>1149</v>
      </c>
      <c r="D187" s="7" t="s">
        <v>46</v>
      </c>
      <c r="E187" s="7" t="s">
        <v>107</v>
      </c>
      <c r="F187" s="7" t="s">
        <v>52</v>
      </c>
      <c r="G187" s="11" t="s">
        <v>55</v>
      </c>
      <c r="H187" s="11" t="s">
        <v>55</v>
      </c>
      <c r="I187" s="11" t="s">
        <v>55</v>
      </c>
      <c r="J187" s="7" t="s">
        <v>55</v>
      </c>
      <c r="K187" s="11" t="s">
        <v>1150</v>
      </c>
      <c r="L187" s="14" t="str">
        <f t="shared" si="1"/>
        <v>Não</v>
      </c>
      <c r="M187" s="7"/>
      <c r="N187" s="7"/>
      <c r="O187" s="7" t="s">
        <v>55</v>
      </c>
      <c r="P187" s="7"/>
      <c r="Q187" s="16" t="s">
        <v>55</v>
      </c>
      <c r="R187" s="16" t="s">
        <v>55</v>
      </c>
      <c r="S187" s="16" t="s">
        <v>55</v>
      </c>
      <c r="T187" s="16" t="s">
        <v>55</v>
      </c>
      <c r="U187" s="16" t="s">
        <v>55</v>
      </c>
      <c r="V187" s="16" t="s">
        <v>127</v>
      </c>
      <c r="W187" s="16" t="s">
        <v>1151</v>
      </c>
      <c r="X187" s="6"/>
      <c r="Y187" s="6"/>
      <c r="Z187" s="6"/>
    </row>
    <row r="188" ht="29.25" customHeight="1">
      <c r="A188" s="7" t="s">
        <v>1152</v>
      </c>
      <c r="B188" s="7" t="s">
        <v>1153</v>
      </c>
      <c r="C188" s="7" t="s">
        <v>1154</v>
      </c>
      <c r="D188" s="7" t="s">
        <v>46</v>
      </c>
      <c r="E188" s="7" t="s">
        <v>138</v>
      </c>
      <c r="F188" s="7" t="s">
        <v>52</v>
      </c>
      <c r="G188" s="11" t="s">
        <v>55</v>
      </c>
      <c r="H188" s="11" t="s">
        <v>55</v>
      </c>
      <c r="I188" s="11" t="s">
        <v>55</v>
      </c>
      <c r="J188" s="7" t="s">
        <v>55</v>
      </c>
      <c r="K188" s="11" t="s">
        <v>1155</v>
      </c>
      <c r="L188" s="14" t="str">
        <f t="shared" si="1"/>
        <v>Não</v>
      </c>
      <c r="M188" s="7"/>
      <c r="N188" s="7"/>
      <c r="O188" s="7" t="s">
        <v>55</v>
      </c>
      <c r="P188" s="7"/>
      <c r="Q188" s="16" t="s">
        <v>55</v>
      </c>
      <c r="R188" s="16" t="s">
        <v>55</v>
      </c>
      <c r="S188" s="16" t="s">
        <v>55</v>
      </c>
      <c r="T188" s="16" t="s">
        <v>55</v>
      </c>
      <c r="U188" s="16" t="s">
        <v>55</v>
      </c>
      <c r="V188" s="16" t="s">
        <v>127</v>
      </c>
      <c r="W188" s="16" t="s">
        <v>1156</v>
      </c>
      <c r="X188" s="6"/>
      <c r="Y188" s="6"/>
      <c r="Z188" s="6"/>
    </row>
    <row r="189" ht="29.25" customHeight="1">
      <c r="A189" s="7" t="s">
        <v>1157</v>
      </c>
      <c r="B189" s="7" t="s">
        <v>1037</v>
      </c>
      <c r="C189" s="7" t="s">
        <v>1158</v>
      </c>
      <c r="D189" s="7" t="s">
        <v>46</v>
      </c>
      <c r="E189" s="7" t="s">
        <v>259</v>
      </c>
      <c r="F189" s="7" t="s">
        <v>52</v>
      </c>
      <c r="G189" s="11" t="s">
        <v>55</v>
      </c>
      <c r="H189" s="11" t="s">
        <v>55</v>
      </c>
      <c r="I189" s="11" t="s">
        <v>55</v>
      </c>
      <c r="J189" s="7" t="s">
        <v>55</v>
      </c>
      <c r="K189" s="11" t="s">
        <v>1162</v>
      </c>
      <c r="L189" s="14" t="str">
        <f t="shared" si="1"/>
        <v>Não</v>
      </c>
      <c r="M189" s="7"/>
      <c r="N189" s="7"/>
      <c r="O189" s="7" t="s">
        <v>55</v>
      </c>
      <c r="P189" s="7"/>
      <c r="Q189" s="16" t="s">
        <v>55</v>
      </c>
      <c r="R189" s="16" t="s">
        <v>55</v>
      </c>
      <c r="S189" s="16" t="s">
        <v>55</v>
      </c>
      <c r="T189" s="16" t="s">
        <v>55</v>
      </c>
      <c r="U189" s="16" t="s">
        <v>55</v>
      </c>
      <c r="V189" s="16" t="s">
        <v>127</v>
      </c>
      <c r="W189" s="16" t="s">
        <v>1164</v>
      </c>
      <c r="X189" s="6"/>
      <c r="Y189" s="6"/>
      <c r="Z189" s="6"/>
    </row>
    <row r="190" ht="28.5" customHeight="1">
      <c r="A190" s="7" t="s">
        <v>1165</v>
      </c>
      <c r="B190" s="7" t="s">
        <v>1166</v>
      </c>
      <c r="C190" s="7" t="s">
        <v>1167</v>
      </c>
      <c r="D190" s="7" t="s">
        <v>46</v>
      </c>
      <c r="E190" s="7" t="s">
        <v>80</v>
      </c>
      <c r="F190" s="7" t="s">
        <v>52</v>
      </c>
      <c r="G190" s="11" t="s">
        <v>55</v>
      </c>
      <c r="H190" s="11" t="s">
        <v>55</v>
      </c>
      <c r="I190" s="11" t="s">
        <v>55</v>
      </c>
      <c r="J190" s="7" t="s">
        <v>55</v>
      </c>
      <c r="K190" s="11" t="s">
        <v>1170</v>
      </c>
      <c r="L190" s="14" t="str">
        <f t="shared" si="1"/>
        <v>Não</v>
      </c>
      <c r="M190" s="7"/>
      <c r="N190" s="7"/>
      <c r="O190" s="7" t="s">
        <v>55</v>
      </c>
      <c r="P190" s="7"/>
      <c r="Q190" s="16" t="s">
        <v>55</v>
      </c>
      <c r="R190" s="16" t="s">
        <v>55</v>
      </c>
      <c r="S190" s="16" t="s">
        <v>55</v>
      </c>
      <c r="T190" s="16" t="s">
        <v>55</v>
      </c>
      <c r="U190" s="16" t="s">
        <v>55</v>
      </c>
      <c r="V190" s="16" t="s">
        <v>127</v>
      </c>
      <c r="W190" s="16" t="s">
        <v>1171</v>
      </c>
      <c r="X190" s="6"/>
      <c r="Y190" s="6"/>
      <c r="Z190" s="6"/>
    </row>
    <row r="191" ht="28.5" customHeight="1">
      <c r="A191" s="7" t="s">
        <v>1172</v>
      </c>
      <c r="B191" s="7" t="s">
        <v>1055</v>
      </c>
      <c r="C191" s="7" t="s">
        <v>1173</v>
      </c>
      <c r="D191" s="7" t="s">
        <v>46</v>
      </c>
      <c r="E191" s="7" t="s">
        <v>259</v>
      </c>
      <c r="F191" s="7" t="s">
        <v>52</v>
      </c>
      <c r="G191" s="11" t="s">
        <v>55</v>
      </c>
      <c r="H191" s="11" t="s">
        <v>55</v>
      </c>
      <c r="I191" s="11" t="s">
        <v>55</v>
      </c>
      <c r="J191" s="7" t="s">
        <v>55</v>
      </c>
      <c r="K191" s="11" t="s">
        <v>1174</v>
      </c>
      <c r="L191" s="14" t="str">
        <f t="shared" si="1"/>
        <v>Não</v>
      </c>
      <c r="M191" s="7"/>
      <c r="N191" s="7"/>
      <c r="O191" s="7" t="s">
        <v>55</v>
      </c>
      <c r="P191" s="7"/>
      <c r="Q191" s="16" t="s">
        <v>55</v>
      </c>
      <c r="R191" s="16" t="s">
        <v>55</v>
      </c>
      <c r="S191" s="16" t="s">
        <v>55</v>
      </c>
      <c r="T191" s="16" t="s">
        <v>55</v>
      </c>
      <c r="U191" s="16" t="s">
        <v>55</v>
      </c>
      <c r="V191" s="16" t="s">
        <v>127</v>
      </c>
      <c r="W191" s="16" t="s">
        <v>1175</v>
      </c>
      <c r="X191" s="6"/>
      <c r="Y191" s="6"/>
      <c r="Z191" s="6"/>
    </row>
    <row r="192" ht="29.25" customHeight="1">
      <c r="A192" s="7" t="s">
        <v>1176</v>
      </c>
      <c r="B192" s="7" t="s">
        <v>1177</v>
      </c>
      <c r="C192" s="7" t="s">
        <v>1178</v>
      </c>
      <c r="D192" s="7" t="s">
        <v>46</v>
      </c>
      <c r="E192" s="7" t="s">
        <v>148</v>
      </c>
      <c r="F192" s="7" t="s">
        <v>52</v>
      </c>
      <c r="G192" s="11" t="s">
        <v>55</v>
      </c>
      <c r="H192" s="11" t="s">
        <v>55</v>
      </c>
      <c r="I192" s="11" t="s">
        <v>55</v>
      </c>
      <c r="J192" s="7" t="s">
        <v>55</v>
      </c>
      <c r="K192" s="11" t="s">
        <v>1179</v>
      </c>
      <c r="L192" s="14" t="str">
        <f t="shared" si="1"/>
        <v>Não</v>
      </c>
      <c r="M192" s="7"/>
      <c r="N192" s="7"/>
      <c r="O192" s="7" t="s">
        <v>55</v>
      </c>
      <c r="P192" s="7"/>
      <c r="Q192" s="16" t="s">
        <v>55</v>
      </c>
      <c r="R192" s="16" t="s">
        <v>55</v>
      </c>
      <c r="S192" s="16" t="s">
        <v>55</v>
      </c>
      <c r="T192" s="16" t="s">
        <v>55</v>
      </c>
      <c r="U192" s="16" t="s">
        <v>55</v>
      </c>
      <c r="V192" s="16" t="s">
        <v>127</v>
      </c>
      <c r="W192" s="16" t="s">
        <v>1181</v>
      </c>
      <c r="X192" s="6"/>
      <c r="Y192" s="6"/>
      <c r="Z192" s="6"/>
    </row>
    <row r="193" ht="15.0" customHeight="1">
      <c r="A193" s="7" t="s">
        <v>1182</v>
      </c>
      <c r="B193" s="7" t="s">
        <v>1032</v>
      </c>
      <c r="C193" s="7" t="s">
        <v>1183</v>
      </c>
      <c r="D193" s="7" t="s">
        <v>46</v>
      </c>
      <c r="E193" s="7" t="s">
        <v>85</v>
      </c>
      <c r="F193" s="7" t="s">
        <v>52</v>
      </c>
      <c r="G193" s="11" t="s">
        <v>55</v>
      </c>
      <c r="H193" s="11" t="s">
        <v>57</v>
      </c>
      <c r="I193" s="11" t="s">
        <v>57</v>
      </c>
      <c r="J193" s="7" t="s">
        <v>55</v>
      </c>
      <c r="K193" s="7"/>
      <c r="L193" s="14" t="str">
        <f t="shared" si="1"/>
        <v>Não</v>
      </c>
      <c r="M193" s="7"/>
      <c r="N193" s="7"/>
      <c r="O193" s="7" t="s">
        <v>55</v>
      </c>
      <c r="P193" s="7"/>
      <c r="Q193" s="16" t="s">
        <v>55</v>
      </c>
      <c r="R193" s="16" t="s">
        <v>57</v>
      </c>
      <c r="S193" s="16" t="s">
        <v>57</v>
      </c>
      <c r="T193" s="16" t="s">
        <v>55</v>
      </c>
      <c r="U193" s="16" t="s">
        <v>57</v>
      </c>
      <c r="V193" s="16" t="s">
        <v>99</v>
      </c>
      <c r="W193" s="16"/>
      <c r="X193" s="6"/>
      <c r="Y193" s="6"/>
      <c r="Z193" s="6"/>
    </row>
    <row r="194" ht="27.0" customHeight="1">
      <c r="A194" s="7" t="s">
        <v>1184</v>
      </c>
      <c r="B194" s="7" t="s">
        <v>1185</v>
      </c>
      <c r="C194" s="7" t="s">
        <v>1186</v>
      </c>
      <c r="D194" s="7" t="s">
        <v>46</v>
      </c>
      <c r="E194" s="7" t="s">
        <v>259</v>
      </c>
      <c r="F194" s="7" t="s">
        <v>52</v>
      </c>
      <c r="G194" s="11" t="s">
        <v>55</v>
      </c>
      <c r="H194" s="11" t="s">
        <v>55</v>
      </c>
      <c r="I194" s="11" t="s">
        <v>55</v>
      </c>
      <c r="J194" s="7" t="s">
        <v>55</v>
      </c>
      <c r="K194" s="11" t="s">
        <v>1187</v>
      </c>
      <c r="L194" s="14" t="str">
        <f t="shared" si="1"/>
        <v>Não</v>
      </c>
      <c r="M194" s="7"/>
      <c r="N194" s="7"/>
      <c r="O194" s="7" t="s">
        <v>55</v>
      </c>
      <c r="P194" s="7"/>
      <c r="Q194" s="16" t="s">
        <v>55</v>
      </c>
      <c r="R194" s="16" t="s">
        <v>55</v>
      </c>
      <c r="S194" s="16" t="s">
        <v>55</v>
      </c>
      <c r="T194" s="16" t="s">
        <v>55</v>
      </c>
      <c r="U194" s="16" t="s">
        <v>55</v>
      </c>
      <c r="V194" s="16" t="s">
        <v>127</v>
      </c>
      <c r="W194" s="16" t="s">
        <v>1188</v>
      </c>
      <c r="X194" s="6"/>
      <c r="Y194" s="6"/>
      <c r="Z194" s="6"/>
    </row>
    <row r="195" ht="28.5" customHeight="1">
      <c r="A195" s="7" t="s">
        <v>1189</v>
      </c>
      <c r="B195" s="7" t="s">
        <v>1055</v>
      </c>
      <c r="C195" s="7" t="s">
        <v>1190</v>
      </c>
      <c r="D195" s="7" t="s">
        <v>46</v>
      </c>
      <c r="E195" s="7" t="s">
        <v>180</v>
      </c>
      <c r="F195" s="7" t="s">
        <v>52</v>
      </c>
      <c r="G195" s="11" t="s">
        <v>55</v>
      </c>
      <c r="H195" s="11" t="s">
        <v>55</v>
      </c>
      <c r="I195" s="11" t="s">
        <v>55</v>
      </c>
      <c r="J195" s="7" t="s">
        <v>55</v>
      </c>
      <c r="K195" s="11" t="s">
        <v>1191</v>
      </c>
      <c r="L195" s="14" t="str">
        <f t="shared" si="1"/>
        <v>Não</v>
      </c>
      <c r="M195" s="7"/>
      <c r="N195" s="7"/>
      <c r="O195" s="7" t="s">
        <v>55</v>
      </c>
      <c r="P195" s="7"/>
      <c r="Q195" s="16" t="s">
        <v>55</v>
      </c>
      <c r="R195" s="16" t="s">
        <v>55</v>
      </c>
      <c r="S195" s="16" t="s">
        <v>55</v>
      </c>
      <c r="T195" s="16" t="s">
        <v>55</v>
      </c>
      <c r="U195" s="16" t="s">
        <v>55</v>
      </c>
      <c r="V195" s="16" t="s">
        <v>127</v>
      </c>
      <c r="W195" s="16" t="s">
        <v>1192</v>
      </c>
      <c r="X195" s="6"/>
      <c r="Y195" s="6"/>
      <c r="Z195" s="6"/>
    </row>
    <row r="196" ht="15.0" customHeight="1">
      <c r="A196" s="7" t="s">
        <v>1193</v>
      </c>
      <c r="B196" s="7" t="s">
        <v>1194</v>
      </c>
      <c r="C196" s="7" t="s">
        <v>1195</v>
      </c>
      <c r="D196" s="7" t="s">
        <v>46</v>
      </c>
      <c r="E196" s="7" t="s">
        <v>259</v>
      </c>
      <c r="F196" s="7" t="s">
        <v>52</v>
      </c>
      <c r="G196" s="11" t="s">
        <v>55</v>
      </c>
      <c r="H196" s="11" t="s">
        <v>55</v>
      </c>
      <c r="I196" s="11" t="s">
        <v>55</v>
      </c>
      <c r="J196" s="7" t="s">
        <v>55</v>
      </c>
      <c r="K196" s="7"/>
      <c r="L196" s="14" t="str">
        <f t="shared" si="1"/>
        <v>Sim</v>
      </c>
      <c r="M196" s="7"/>
      <c r="N196" s="7"/>
      <c r="O196" s="7" t="s">
        <v>55</v>
      </c>
      <c r="P196" s="7"/>
      <c r="Q196" s="16" t="s">
        <v>55</v>
      </c>
      <c r="R196" s="16" t="s">
        <v>55</v>
      </c>
      <c r="S196" s="16" t="s">
        <v>55</v>
      </c>
      <c r="T196" s="16" t="s">
        <v>55</v>
      </c>
      <c r="U196" s="16" t="s">
        <v>55</v>
      </c>
      <c r="V196" s="16" t="s">
        <v>127</v>
      </c>
      <c r="W196" s="16"/>
      <c r="X196" s="6"/>
      <c r="Y196" s="6"/>
      <c r="Z196" s="6"/>
    </row>
    <row r="197" ht="30.0" customHeight="1">
      <c r="A197" s="7" t="s">
        <v>1196</v>
      </c>
      <c r="B197" s="7" t="s">
        <v>1095</v>
      </c>
      <c r="C197" s="7" t="s">
        <v>1197</v>
      </c>
      <c r="D197" s="7" t="s">
        <v>46</v>
      </c>
      <c r="E197" s="7" t="s">
        <v>286</v>
      </c>
      <c r="F197" s="7" t="s">
        <v>52</v>
      </c>
      <c r="G197" s="11" t="s">
        <v>55</v>
      </c>
      <c r="H197" s="11" t="s">
        <v>55</v>
      </c>
      <c r="I197" s="11" t="s">
        <v>55</v>
      </c>
      <c r="J197" s="7" t="s">
        <v>55</v>
      </c>
      <c r="K197" s="11" t="s">
        <v>1198</v>
      </c>
      <c r="L197" s="14" t="str">
        <f t="shared" si="1"/>
        <v>Não</v>
      </c>
      <c r="M197" s="7"/>
      <c r="N197" s="7"/>
      <c r="O197" s="7" t="s">
        <v>55</v>
      </c>
      <c r="P197" s="7"/>
      <c r="Q197" s="16" t="s">
        <v>55</v>
      </c>
      <c r="R197" s="16" t="s">
        <v>55</v>
      </c>
      <c r="S197" s="16" t="s">
        <v>55</v>
      </c>
      <c r="T197" s="16" t="s">
        <v>55</v>
      </c>
      <c r="U197" s="16" t="s">
        <v>55</v>
      </c>
      <c r="V197" s="16" t="s">
        <v>127</v>
      </c>
      <c r="W197" s="16" t="s">
        <v>1199</v>
      </c>
      <c r="X197" s="6"/>
      <c r="Y197" s="6"/>
      <c r="Z197" s="6"/>
    </row>
    <row r="198" ht="15.0" customHeight="1">
      <c r="A198" s="7" t="s">
        <v>1200</v>
      </c>
      <c r="B198" s="7" t="s">
        <v>1037</v>
      </c>
      <c r="C198" s="7" t="s">
        <v>1201</v>
      </c>
      <c r="D198" s="7" t="s">
        <v>46</v>
      </c>
      <c r="E198" s="7" t="s">
        <v>107</v>
      </c>
      <c r="F198" s="7" t="s">
        <v>52</v>
      </c>
      <c r="G198" s="11" t="s">
        <v>55</v>
      </c>
      <c r="H198" s="11" t="s">
        <v>55</v>
      </c>
      <c r="I198" s="11" t="s">
        <v>55</v>
      </c>
      <c r="J198" s="7" t="s">
        <v>55</v>
      </c>
      <c r="K198" s="11" t="s">
        <v>1202</v>
      </c>
      <c r="L198" s="14" t="str">
        <f t="shared" si="1"/>
        <v>Não</v>
      </c>
      <c r="M198" s="7"/>
      <c r="N198" s="7"/>
      <c r="O198" s="7" t="s">
        <v>55</v>
      </c>
      <c r="P198" s="7"/>
      <c r="Q198" s="16" t="s">
        <v>55</v>
      </c>
      <c r="R198" s="16" t="s">
        <v>55</v>
      </c>
      <c r="S198" s="16" t="s">
        <v>55</v>
      </c>
      <c r="T198" s="16" t="s">
        <v>55</v>
      </c>
      <c r="U198" s="16" t="s">
        <v>55</v>
      </c>
      <c r="V198" s="16" t="s">
        <v>127</v>
      </c>
      <c r="W198" s="16" t="s">
        <v>1203</v>
      </c>
      <c r="X198" s="6"/>
      <c r="Y198" s="6"/>
      <c r="Z198" s="6"/>
    </row>
    <row r="199" ht="27.0" customHeight="1">
      <c r="A199" s="7" t="s">
        <v>1204</v>
      </c>
      <c r="B199" s="7" t="s">
        <v>1205</v>
      </c>
      <c r="C199" s="7" t="s">
        <v>1206</v>
      </c>
      <c r="D199" s="7" t="s">
        <v>46</v>
      </c>
      <c r="E199" s="7" t="s">
        <v>138</v>
      </c>
      <c r="F199" s="7" t="s">
        <v>52</v>
      </c>
      <c r="G199" s="11" t="s">
        <v>55</v>
      </c>
      <c r="H199" s="11" t="s">
        <v>55</v>
      </c>
      <c r="I199" s="11" t="s">
        <v>55</v>
      </c>
      <c r="J199" s="7" t="s">
        <v>55</v>
      </c>
      <c r="K199" s="11" t="s">
        <v>1207</v>
      </c>
      <c r="L199" s="14" t="str">
        <f t="shared" si="1"/>
        <v>Não</v>
      </c>
      <c r="M199" s="7"/>
      <c r="N199" s="7"/>
      <c r="O199" s="7" t="s">
        <v>55</v>
      </c>
      <c r="P199" s="7"/>
      <c r="Q199" s="16" t="s">
        <v>55</v>
      </c>
      <c r="R199" s="16" t="s">
        <v>55</v>
      </c>
      <c r="S199" s="16" t="s">
        <v>55</v>
      </c>
      <c r="T199" s="16" t="s">
        <v>55</v>
      </c>
      <c r="U199" s="16" t="s">
        <v>55</v>
      </c>
      <c r="V199" s="16" t="s">
        <v>127</v>
      </c>
      <c r="W199" s="16" t="s">
        <v>1208</v>
      </c>
      <c r="X199" s="6"/>
      <c r="Y199" s="6"/>
      <c r="Z199" s="6"/>
    </row>
    <row r="200" ht="30.0" customHeight="1">
      <c r="A200" s="7" t="s">
        <v>1209</v>
      </c>
      <c r="B200" s="7" t="s">
        <v>1210</v>
      </c>
      <c r="C200" s="7" t="s">
        <v>1211</v>
      </c>
      <c r="D200" s="7" t="s">
        <v>46</v>
      </c>
      <c r="E200" s="7" t="s">
        <v>259</v>
      </c>
      <c r="F200" s="7" t="s">
        <v>52</v>
      </c>
      <c r="G200" s="11" t="s">
        <v>55</v>
      </c>
      <c r="H200" s="11" t="s">
        <v>55</v>
      </c>
      <c r="I200" s="11" t="s">
        <v>55</v>
      </c>
      <c r="J200" s="7" t="s">
        <v>55</v>
      </c>
      <c r="K200" s="11" t="s">
        <v>1212</v>
      </c>
      <c r="L200" s="14" t="str">
        <f t="shared" si="1"/>
        <v>Não</v>
      </c>
      <c r="M200" s="7"/>
      <c r="N200" s="7"/>
      <c r="O200" s="7" t="s">
        <v>55</v>
      </c>
      <c r="P200" s="7"/>
      <c r="Q200" s="16" t="s">
        <v>55</v>
      </c>
      <c r="R200" s="16" t="s">
        <v>55</v>
      </c>
      <c r="S200" s="16" t="s">
        <v>55</v>
      </c>
      <c r="T200" s="16" t="s">
        <v>55</v>
      </c>
      <c r="U200" s="16" t="s">
        <v>55</v>
      </c>
      <c r="V200" s="16" t="s">
        <v>127</v>
      </c>
      <c r="W200" s="16" t="s">
        <v>1213</v>
      </c>
      <c r="X200" s="6"/>
      <c r="Y200" s="6"/>
      <c r="Z200" s="6"/>
    </row>
    <row r="201" ht="27.0" customHeight="1">
      <c r="A201" s="7" t="s">
        <v>1214</v>
      </c>
      <c r="B201" s="7" t="s">
        <v>1215</v>
      </c>
      <c r="C201" s="7" t="s">
        <v>1216</v>
      </c>
      <c r="D201" s="7" t="s">
        <v>46</v>
      </c>
      <c r="E201" s="7" t="s">
        <v>267</v>
      </c>
      <c r="F201" s="7" t="s">
        <v>52</v>
      </c>
      <c r="G201" s="11" t="s">
        <v>55</v>
      </c>
      <c r="H201" s="11" t="s">
        <v>55</v>
      </c>
      <c r="I201" s="11" t="s">
        <v>55</v>
      </c>
      <c r="J201" s="7" t="s">
        <v>55</v>
      </c>
      <c r="K201" s="11" t="s">
        <v>1217</v>
      </c>
      <c r="L201" s="14" t="str">
        <f t="shared" si="1"/>
        <v>Não</v>
      </c>
      <c r="M201" s="7"/>
      <c r="N201" s="7"/>
      <c r="O201" s="7" t="s">
        <v>55</v>
      </c>
      <c r="P201" s="7"/>
      <c r="Q201" s="16" t="s">
        <v>55</v>
      </c>
      <c r="R201" s="16" t="s">
        <v>55</v>
      </c>
      <c r="S201" s="16" t="s">
        <v>55</v>
      </c>
      <c r="T201" s="16" t="s">
        <v>55</v>
      </c>
      <c r="U201" s="16" t="s">
        <v>55</v>
      </c>
      <c r="V201" s="16" t="s">
        <v>127</v>
      </c>
      <c r="W201" s="16" t="s">
        <v>1218</v>
      </c>
      <c r="X201" s="6"/>
      <c r="Y201" s="6"/>
      <c r="Z201" s="6"/>
    </row>
    <row r="202" ht="27.0" customHeight="1">
      <c r="A202" s="7" t="s">
        <v>1220</v>
      </c>
      <c r="B202" s="7" t="s">
        <v>1055</v>
      </c>
      <c r="C202" s="7" t="s">
        <v>1222</v>
      </c>
      <c r="D202" s="7" t="s">
        <v>46</v>
      </c>
      <c r="E202" s="7" t="s">
        <v>48</v>
      </c>
      <c r="F202" s="7" t="s">
        <v>52</v>
      </c>
      <c r="G202" s="11" t="s">
        <v>55</v>
      </c>
      <c r="H202" s="11" t="s">
        <v>55</v>
      </c>
      <c r="I202" s="11" t="s">
        <v>55</v>
      </c>
      <c r="J202" s="7" t="s">
        <v>55</v>
      </c>
      <c r="K202" s="11" t="s">
        <v>1224</v>
      </c>
      <c r="L202" s="14" t="str">
        <f t="shared" si="1"/>
        <v>Não</v>
      </c>
      <c r="M202" s="7"/>
      <c r="N202" s="7"/>
      <c r="O202" s="7" t="s">
        <v>55</v>
      </c>
      <c r="P202" s="7"/>
      <c r="Q202" s="16" t="s">
        <v>55</v>
      </c>
      <c r="R202" s="16" t="s">
        <v>55</v>
      </c>
      <c r="S202" s="16" t="s">
        <v>55</v>
      </c>
      <c r="T202" s="16" t="s">
        <v>55</v>
      </c>
      <c r="U202" s="16" t="s">
        <v>55</v>
      </c>
      <c r="V202" s="16" t="s">
        <v>127</v>
      </c>
      <c r="W202" s="16" t="s">
        <v>1227</v>
      </c>
      <c r="X202" s="6"/>
      <c r="Y202" s="6"/>
      <c r="Z202" s="6"/>
    </row>
    <row r="203" ht="15.0" customHeight="1">
      <c r="A203" s="7" t="s">
        <v>1228</v>
      </c>
      <c r="B203" s="7" t="s">
        <v>1229</v>
      </c>
      <c r="C203" s="7" t="s">
        <v>1230</v>
      </c>
      <c r="D203" s="7" t="s">
        <v>46</v>
      </c>
      <c r="E203" s="7" t="s">
        <v>291</v>
      </c>
      <c r="F203" s="7" t="s">
        <v>52</v>
      </c>
      <c r="G203" s="11" t="s">
        <v>55</v>
      </c>
      <c r="H203" s="11" t="s">
        <v>55</v>
      </c>
      <c r="I203" s="11" t="s">
        <v>55</v>
      </c>
      <c r="J203" s="7" t="s">
        <v>55</v>
      </c>
      <c r="K203" s="11" t="s">
        <v>1233</v>
      </c>
      <c r="L203" s="14" t="str">
        <f t="shared" si="1"/>
        <v>Não</v>
      </c>
      <c r="M203" s="7"/>
      <c r="N203" s="7"/>
      <c r="O203" s="7" t="s">
        <v>55</v>
      </c>
      <c r="P203" s="7"/>
      <c r="Q203" s="16" t="s">
        <v>55</v>
      </c>
      <c r="R203" s="16" t="s">
        <v>55</v>
      </c>
      <c r="S203" s="16" t="s">
        <v>55</v>
      </c>
      <c r="T203" s="16" t="s">
        <v>55</v>
      </c>
      <c r="U203" s="16" t="s">
        <v>55</v>
      </c>
      <c r="V203" s="16" t="s">
        <v>127</v>
      </c>
      <c r="W203" s="16" t="s">
        <v>1234</v>
      </c>
      <c r="X203" s="6"/>
      <c r="Y203" s="6"/>
      <c r="Z203" s="6"/>
    </row>
    <row r="204" ht="15.0" customHeight="1">
      <c r="A204" s="7" t="s">
        <v>1235</v>
      </c>
      <c r="B204" s="7" t="s">
        <v>1236</v>
      </c>
      <c r="C204" s="7" t="s">
        <v>1237</v>
      </c>
      <c r="D204" s="7" t="s">
        <v>46</v>
      </c>
      <c r="E204" s="7" t="s">
        <v>291</v>
      </c>
      <c r="F204" s="7" t="s">
        <v>52</v>
      </c>
      <c r="G204" s="11" t="s">
        <v>55</v>
      </c>
      <c r="H204" s="11" t="s">
        <v>55</v>
      </c>
      <c r="I204" s="11" t="s">
        <v>55</v>
      </c>
      <c r="J204" s="7" t="s">
        <v>55</v>
      </c>
      <c r="K204" s="11" t="s">
        <v>1238</v>
      </c>
      <c r="L204" s="14" t="str">
        <f t="shared" si="1"/>
        <v>Não</v>
      </c>
      <c r="M204" s="7"/>
      <c r="N204" s="7"/>
      <c r="O204" s="7" t="s">
        <v>55</v>
      </c>
      <c r="P204" s="7"/>
      <c r="Q204" s="16" t="s">
        <v>55</v>
      </c>
      <c r="R204" s="16" t="s">
        <v>55</v>
      </c>
      <c r="S204" s="16" t="s">
        <v>55</v>
      </c>
      <c r="T204" s="16" t="s">
        <v>55</v>
      </c>
      <c r="U204" s="16" t="s">
        <v>55</v>
      </c>
      <c r="V204" s="16" t="s">
        <v>127</v>
      </c>
      <c r="W204" s="16" t="s">
        <v>1239</v>
      </c>
      <c r="X204" s="6"/>
      <c r="Y204" s="6"/>
      <c r="Z204" s="6"/>
    </row>
    <row r="205" ht="15.0" customHeight="1">
      <c r="A205" s="7" t="s">
        <v>1240</v>
      </c>
      <c r="B205" s="7" t="s">
        <v>1241</v>
      </c>
      <c r="C205" s="7" t="s">
        <v>1242</v>
      </c>
      <c r="D205" s="7" t="s">
        <v>233</v>
      </c>
      <c r="E205" s="7" t="s">
        <v>138</v>
      </c>
      <c r="F205" s="7" t="s">
        <v>52</v>
      </c>
      <c r="G205" s="11" t="s">
        <v>57</v>
      </c>
      <c r="H205" s="11" t="s">
        <v>55</v>
      </c>
      <c r="I205" s="11" t="s">
        <v>55</v>
      </c>
      <c r="J205" s="7" t="s">
        <v>55</v>
      </c>
      <c r="K205" s="7"/>
      <c r="L205" s="14" t="str">
        <f t="shared" si="1"/>
        <v>Não</v>
      </c>
      <c r="M205" s="7"/>
      <c r="N205" s="7"/>
      <c r="O205" s="7" t="s">
        <v>55</v>
      </c>
      <c r="P205" s="7"/>
      <c r="Q205" s="16" t="s">
        <v>57</v>
      </c>
      <c r="R205" s="16" t="s">
        <v>55</v>
      </c>
      <c r="S205" s="16" t="s">
        <v>55</v>
      </c>
      <c r="T205" s="16" t="s">
        <v>55</v>
      </c>
      <c r="U205" s="16" t="s">
        <v>57</v>
      </c>
      <c r="V205" s="16" t="s">
        <v>225</v>
      </c>
      <c r="W205" s="16"/>
      <c r="X205" s="6"/>
      <c r="Y205" s="6"/>
      <c r="Z205" s="6"/>
    </row>
    <row r="206" ht="15.0" customHeight="1">
      <c r="A206" s="7" t="s">
        <v>1244</v>
      </c>
      <c r="B206" s="7" t="s">
        <v>1245</v>
      </c>
      <c r="C206" s="7" t="s">
        <v>1246</v>
      </c>
      <c r="D206" s="7" t="s">
        <v>233</v>
      </c>
      <c r="E206" s="7" t="s">
        <v>267</v>
      </c>
      <c r="F206" s="7" t="s">
        <v>52</v>
      </c>
      <c r="G206" s="11" t="s">
        <v>55</v>
      </c>
      <c r="H206" s="11" t="s">
        <v>55</v>
      </c>
      <c r="I206" s="11" t="s">
        <v>55</v>
      </c>
      <c r="J206" s="7" t="s">
        <v>55</v>
      </c>
      <c r="K206" s="7"/>
      <c r="L206" s="14" t="str">
        <f t="shared" si="1"/>
        <v>Sim</v>
      </c>
      <c r="M206" s="7"/>
      <c r="N206" s="7"/>
      <c r="O206" s="7" t="s">
        <v>55</v>
      </c>
      <c r="P206" s="7"/>
      <c r="Q206" s="16" t="s">
        <v>57</v>
      </c>
      <c r="R206" s="16" t="s">
        <v>55</v>
      </c>
      <c r="S206" s="16" t="s">
        <v>55</v>
      </c>
      <c r="T206" s="16" t="s">
        <v>55</v>
      </c>
      <c r="U206" s="16" t="s">
        <v>57</v>
      </c>
      <c r="V206" s="16" t="s">
        <v>225</v>
      </c>
      <c r="W206" s="16"/>
      <c r="X206" s="6"/>
      <c r="Y206" s="6"/>
      <c r="Z206" s="6"/>
    </row>
    <row r="207" ht="15.0" customHeight="1">
      <c r="A207" s="7" t="s">
        <v>1247</v>
      </c>
      <c r="B207" s="7" t="s">
        <v>1248</v>
      </c>
      <c r="C207" s="7" t="s">
        <v>1249</v>
      </c>
      <c r="D207" s="7" t="s">
        <v>233</v>
      </c>
      <c r="E207" s="7" t="s">
        <v>194</v>
      </c>
      <c r="F207" s="7" t="s">
        <v>52</v>
      </c>
      <c r="G207" s="11" t="s">
        <v>55</v>
      </c>
      <c r="H207" s="11" t="s">
        <v>55</v>
      </c>
      <c r="I207" s="11" t="s">
        <v>55</v>
      </c>
      <c r="J207" s="7" t="s">
        <v>55</v>
      </c>
      <c r="K207" s="7"/>
      <c r="L207" s="14" t="str">
        <f t="shared" si="1"/>
        <v>Sim</v>
      </c>
      <c r="M207" s="7"/>
      <c r="N207" s="7"/>
      <c r="O207" s="7" t="s">
        <v>55</v>
      </c>
      <c r="P207" s="7"/>
      <c r="Q207" s="16" t="s">
        <v>57</v>
      </c>
      <c r="R207" s="16" t="s">
        <v>55</v>
      </c>
      <c r="S207" s="16" t="s">
        <v>55</v>
      </c>
      <c r="T207" s="16" t="s">
        <v>55</v>
      </c>
      <c r="U207" s="16" t="s">
        <v>57</v>
      </c>
      <c r="V207" s="16" t="s">
        <v>225</v>
      </c>
      <c r="W207" s="16"/>
      <c r="X207" s="6"/>
      <c r="Y207" s="6"/>
      <c r="Z207" s="6"/>
    </row>
    <row r="208" ht="15.0" customHeight="1">
      <c r="A208" s="31" t="s">
        <v>1250</v>
      </c>
      <c r="B208" s="31" t="s">
        <v>1251</v>
      </c>
      <c r="C208" s="31"/>
      <c r="D208" s="31" t="s">
        <v>233</v>
      </c>
      <c r="E208" s="31" t="s">
        <v>85</v>
      </c>
      <c r="F208" s="31" t="s">
        <v>52</v>
      </c>
      <c r="G208" s="32" t="s">
        <v>57</v>
      </c>
      <c r="H208" s="32" t="s">
        <v>57</v>
      </c>
      <c r="I208" s="32" t="s">
        <v>57</v>
      </c>
      <c r="J208" s="31" t="s">
        <v>55</v>
      </c>
      <c r="K208" s="7"/>
      <c r="L208" s="31" t="str">
        <f t="shared" si="1"/>
        <v>Não</v>
      </c>
      <c r="M208" s="31"/>
      <c r="N208" s="31"/>
      <c r="O208" s="31" t="s">
        <v>55</v>
      </c>
      <c r="P208" s="31" t="s">
        <v>1252</v>
      </c>
      <c r="Q208" s="31" t="s">
        <v>55</v>
      </c>
      <c r="R208" s="31" t="s">
        <v>55</v>
      </c>
      <c r="S208" s="31" t="s">
        <v>57</v>
      </c>
      <c r="T208" s="31" t="s">
        <v>55</v>
      </c>
      <c r="U208" s="31" t="s">
        <v>57</v>
      </c>
      <c r="V208" s="31" t="s">
        <v>1253</v>
      </c>
      <c r="W208" s="31"/>
      <c r="X208" s="33"/>
      <c r="Y208" s="33"/>
      <c r="Z208" s="33"/>
    </row>
    <row r="209" ht="15.0" customHeight="1">
      <c r="A209" s="7" t="s">
        <v>1254</v>
      </c>
      <c r="B209" s="7" t="s">
        <v>1255</v>
      </c>
      <c r="C209" s="7" t="s">
        <v>1256</v>
      </c>
      <c r="D209" s="7" t="s">
        <v>233</v>
      </c>
      <c r="E209" s="7" t="s">
        <v>148</v>
      </c>
      <c r="F209" s="7" t="s">
        <v>52</v>
      </c>
      <c r="G209" s="11" t="s">
        <v>57</v>
      </c>
      <c r="H209" s="11" t="s">
        <v>55</v>
      </c>
      <c r="I209" s="11" t="s">
        <v>55</v>
      </c>
      <c r="J209" s="7" t="s">
        <v>55</v>
      </c>
      <c r="K209" s="7"/>
      <c r="L209" s="14" t="str">
        <f t="shared" si="1"/>
        <v>Não</v>
      </c>
      <c r="M209" s="7"/>
      <c r="N209" s="7"/>
      <c r="O209" s="7" t="s">
        <v>55</v>
      </c>
      <c r="P209" s="7"/>
      <c r="Q209" s="16" t="s">
        <v>57</v>
      </c>
      <c r="R209" s="16" t="s">
        <v>55</v>
      </c>
      <c r="S209" s="16" t="s">
        <v>55</v>
      </c>
      <c r="T209" s="16" t="s">
        <v>55</v>
      </c>
      <c r="U209" s="16" t="s">
        <v>57</v>
      </c>
      <c r="V209" s="16" t="s">
        <v>225</v>
      </c>
      <c r="W209" s="16"/>
      <c r="X209" s="6"/>
      <c r="Y209" s="6"/>
      <c r="Z209" s="6"/>
    </row>
    <row r="210" ht="15.0" customHeight="1">
      <c r="A210" s="31" t="s">
        <v>1257</v>
      </c>
      <c r="B210" s="31" t="s">
        <v>1258</v>
      </c>
      <c r="C210" s="31"/>
      <c r="D210" s="31" t="s">
        <v>233</v>
      </c>
      <c r="E210" s="31" t="s">
        <v>300</v>
      </c>
      <c r="F210" s="31" t="s">
        <v>52</v>
      </c>
      <c r="G210" s="32" t="s">
        <v>57</v>
      </c>
      <c r="H210" s="32" t="s">
        <v>55</v>
      </c>
      <c r="I210" s="32" t="s">
        <v>55</v>
      </c>
      <c r="J210" s="31" t="s">
        <v>55</v>
      </c>
      <c r="K210" s="7"/>
      <c r="L210" s="31" t="str">
        <f t="shared" si="1"/>
        <v>Não</v>
      </c>
      <c r="M210" s="31"/>
      <c r="N210" s="31"/>
      <c r="O210" s="31" t="s">
        <v>55</v>
      </c>
      <c r="P210" s="31" t="s">
        <v>1252</v>
      </c>
      <c r="Q210" s="31" t="s">
        <v>55</v>
      </c>
      <c r="R210" s="31" t="s">
        <v>55</v>
      </c>
      <c r="S210" s="31" t="s">
        <v>57</v>
      </c>
      <c r="T210" s="31" t="s">
        <v>55</v>
      </c>
      <c r="U210" s="31" t="s">
        <v>57</v>
      </c>
      <c r="V210" s="31" t="s">
        <v>1253</v>
      </c>
      <c r="W210" s="31"/>
      <c r="X210" s="33"/>
      <c r="Y210" s="33"/>
      <c r="Z210" s="33"/>
    </row>
    <row r="211" ht="15.0" customHeight="1">
      <c r="A211" s="31" t="s">
        <v>1259</v>
      </c>
      <c r="B211" s="31" t="s">
        <v>1260</v>
      </c>
      <c r="C211" s="31"/>
      <c r="D211" s="31" t="s">
        <v>233</v>
      </c>
      <c r="E211" s="31" t="s">
        <v>48</v>
      </c>
      <c r="F211" s="31" t="s">
        <v>52</v>
      </c>
      <c r="G211" s="32" t="s">
        <v>57</v>
      </c>
      <c r="H211" s="32" t="s">
        <v>55</v>
      </c>
      <c r="I211" s="32" t="s">
        <v>55</v>
      </c>
      <c r="J211" s="31" t="s">
        <v>55</v>
      </c>
      <c r="K211" s="7"/>
      <c r="L211" s="31" t="str">
        <f t="shared" si="1"/>
        <v>Não</v>
      </c>
      <c r="M211" s="31"/>
      <c r="N211" s="31"/>
      <c r="O211" s="31" t="s">
        <v>55</v>
      </c>
      <c r="P211" s="31" t="s">
        <v>1252</v>
      </c>
      <c r="Q211" s="31" t="s">
        <v>55</v>
      </c>
      <c r="R211" s="31" t="s">
        <v>55</v>
      </c>
      <c r="S211" s="31" t="s">
        <v>57</v>
      </c>
      <c r="T211" s="31" t="s">
        <v>55</v>
      </c>
      <c r="U211" s="31" t="s">
        <v>57</v>
      </c>
      <c r="V211" s="31" t="s">
        <v>1253</v>
      </c>
      <c r="W211" s="31"/>
      <c r="X211" s="33"/>
      <c r="Y211" s="33"/>
      <c r="Z211" s="33"/>
    </row>
    <row r="212" ht="15.0" customHeight="1">
      <c r="A212" s="31" t="s">
        <v>1261</v>
      </c>
      <c r="B212" s="31" t="s">
        <v>1262</v>
      </c>
      <c r="C212" s="31"/>
      <c r="D212" s="31" t="s">
        <v>233</v>
      </c>
      <c r="E212" s="31" t="s">
        <v>286</v>
      </c>
      <c r="F212" s="31" t="s">
        <v>52</v>
      </c>
      <c r="G212" s="32" t="s">
        <v>57</v>
      </c>
      <c r="H212" s="32" t="s">
        <v>55</v>
      </c>
      <c r="I212" s="32" t="s">
        <v>55</v>
      </c>
      <c r="J212" s="31" t="s">
        <v>55</v>
      </c>
      <c r="K212" s="7"/>
      <c r="L212" s="31" t="str">
        <f t="shared" si="1"/>
        <v>Não</v>
      </c>
      <c r="M212" s="31"/>
      <c r="N212" s="31"/>
      <c r="O212" s="31" t="s">
        <v>55</v>
      </c>
      <c r="P212" s="31" t="s">
        <v>1252</v>
      </c>
      <c r="Q212" s="31" t="s">
        <v>55</v>
      </c>
      <c r="R212" s="31" t="s">
        <v>55</v>
      </c>
      <c r="S212" s="31" t="s">
        <v>57</v>
      </c>
      <c r="T212" s="31" t="s">
        <v>55</v>
      </c>
      <c r="U212" s="31" t="s">
        <v>57</v>
      </c>
      <c r="V212" s="31" t="s">
        <v>1253</v>
      </c>
      <c r="W212" s="31"/>
      <c r="X212" s="33"/>
      <c r="Y212" s="33"/>
      <c r="Z212" s="33"/>
    </row>
    <row r="213" ht="15.0" customHeight="1">
      <c r="A213" s="31" t="s">
        <v>1266</v>
      </c>
      <c r="B213" s="31" t="s">
        <v>1267</v>
      </c>
      <c r="C213" s="31"/>
      <c r="D213" s="31" t="s">
        <v>233</v>
      </c>
      <c r="E213" s="31" t="s">
        <v>85</v>
      </c>
      <c r="F213" s="31" t="s">
        <v>52</v>
      </c>
      <c r="G213" s="32" t="s">
        <v>57</v>
      </c>
      <c r="H213" s="32" t="s">
        <v>55</v>
      </c>
      <c r="I213" s="32" t="s">
        <v>55</v>
      </c>
      <c r="J213" s="31" t="s">
        <v>55</v>
      </c>
      <c r="K213" s="7"/>
      <c r="L213" s="31" t="str">
        <f t="shared" si="1"/>
        <v>Não</v>
      </c>
      <c r="M213" s="31"/>
      <c r="N213" s="31"/>
      <c r="O213" s="31" t="s">
        <v>55</v>
      </c>
      <c r="P213" s="31" t="s">
        <v>1252</v>
      </c>
      <c r="Q213" s="31" t="s">
        <v>55</v>
      </c>
      <c r="R213" s="31" t="s">
        <v>55</v>
      </c>
      <c r="S213" s="31" t="s">
        <v>57</v>
      </c>
      <c r="T213" s="31" t="s">
        <v>55</v>
      </c>
      <c r="U213" s="31" t="s">
        <v>57</v>
      </c>
      <c r="V213" s="31" t="s">
        <v>1253</v>
      </c>
      <c r="W213" s="31"/>
      <c r="X213" s="33"/>
      <c r="Y213" s="33"/>
      <c r="Z213" s="33"/>
    </row>
    <row r="214" ht="15.0" customHeight="1">
      <c r="A214" s="31" t="s">
        <v>1273</v>
      </c>
      <c r="B214" s="31" t="s">
        <v>1274</v>
      </c>
      <c r="C214" s="31"/>
      <c r="D214" s="31" t="s">
        <v>233</v>
      </c>
      <c r="E214" s="31" t="s">
        <v>286</v>
      </c>
      <c r="F214" s="31" t="s">
        <v>52</v>
      </c>
      <c r="G214" s="32" t="s">
        <v>57</v>
      </c>
      <c r="H214" s="32" t="s">
        <v>55</v>
      </c>
      <c r="I214" s="32" t="s">
        <v>55</v>
      </c>
      <c r="J214" s="31" t="s">
        <v>55</v>
      </c>
      <c r="K214" s="7"/>
      <c r="L214" s="31" t="str">
        <f t="shared" si="1"/>
        <v>Não</v>
      </c>
      <c r="M214" s="31"/>
      <c r="N214" s="31"/>
      <c r="O214" s="31" t="s">
        <v>55</v>
      </c>
      <c r="P214" s="31" t="s">
        <v>1252</v>
      </c>
      <c r="Q214" s="31" t="s">
        <v>55</v>
      </c>
      <c r="R214" s="31" t="s">
        <v>55</v>
      </c>
      <c r="S214" s="31" t="s">
        <v>57</v>
      </c>
      <c r="T214" s="31" t="s">
        <v>55</v>
      </c>
      <c r="U214" s="31" t="s">
        <v>57</v>
      </c>
      <c r="V214" s="31" t="s">
        <v>1253</v>
      </c>
      <c r="W214" s="31"/>
      <c r="X214" s="33"/>
      <c r="Y214" s="33"/>
      <c r="Z214" s="33"/>
    </row>
    <row r="215" ht="15.0" customHeight="1">
      <c r="A215" s="7" t="s">
        <v>1275</v>
      </c>
      <c r="B215" s="7" t="s">
        <v>1276</v>
      </c>
      <c r="C215" s="7" t="s">
        <v>1277</v>
      </c>
      <c r="D215" s="7" t="s">
        <v>210</v>
      </c>
      <c r="E215" s="7" t="s">
        <v>85</v>
      </c>
      <c r="F215" s="7" t="s">
        <v>92</v>
      </c>
      <c r="G215" s="11" t="s">
        <v>55</v>
      </c>
      <c r="H215" s="11" t="s">
        <v>55</v>
      </c>
      <c r="I215" s="11" t="s">
        <v>55</v>
      </c>
      <c r="J215" s="7" t="s">
        <v>55</v>
      </c>
      <c r="K215" s="7"/>
      <c r="L215" s="14" t="str">
        <f t="shared" si="1"/>
        <v>Sim</v>
      </c>
      <c r="M215" s="11" t="s">
        <v>87</v>
      </c>
      <c r="N215" s="7"/>
      <c r="O215" s="7" t="s">
        <v>55</v>
      </c>
      <c r="P215" s="7"/>
      <c r="Q215" s="16" t="s">
        <v>55</v>
      </c>
      <c r="R215" s="16" t="s">
        <v>55</v>
      </c>
      <c r="S215" s="16" t="s">
        <v>55</v>
      </c>
      <c r="T215" s="16" t="s">
        <v>55</v>
      </c>
      <c r="U215" s="16" t="s">
        <v>55</v>
      </c>
      <c r="V215" s="16" t="s">
        <v>127</v>
      </c>
      <c r="W215" s="16"/>
      <c r="X215" s="6"/>
      <c r="Y215" s="6"/>
      <c r="Z215" s="6"/>
    </row>
    <row r="216">
      <c r="A216" s="7" t="s">
        <v>1279</v>
      </c>
      <c r="B216" s="7" t="s">
        <v>1280</v>
      </c>
      <c r="C216" s="7" t="s">
        <v>1281</v>
      </c>
      <c r="D216" s="7" t="s">
        <v>210</v>
      </c>
      <c r="E216" s="7" t="s">
        <v>85</v>
      </c>
      <c r="F216" s="7" t="s">
        <v>92</v>
      </c>
      <c r="G216" s="11" t="s">
        <v>55</v>
      </c>
      <c r="H216" s="11" t="s">
        <v>55</v>
      </c>
      <c r="I216" s="11" t="s">
        <v>55</v>
      </c>
      <c r="J216" s="7" t="s">
        <v>55</v>
      </c>
      <c r="K216" s="11" t="s">
        <v>1282</v>
      </c>
      <c r="L216" s="14" t="str">
        <f t="shared" si="1"/>
        <v>Não</v>
      </c>
      <c r="M216" s="7"/>
      <c r="N216" s="7"/>
      <c r="O216" s="7" t="s">
        <v>55</v>
      </c>
      <c r="P216" s="7"/>
      <c r="Q216" s="16" t="s">
        <v>55</v>
      </c>
      <c r="R216" s="16" t="s">
        <v>55</v>
      </c>
      <c r="S216" s="16" t="s">
        <v>55</v>
      </c>
      <c r="T216" s="16" t="s">
        <v>55</v>
      </c>
      <c r="U216" s="16" t="s">
        <v>55</v>
      </c>
      <c r="V216" s="16" t="s">
        <v>127</v>
      </c>
      <c r="W216" s="16" t="s">
        <v>1283</v>
      </c>
      <c r="X216" s="6"/>
      <c r="Y216" s="6"/>
      <c r="Z216" s="6"/>
    </row>
    <row r="217" ht="15.0" customHeight="1">
      <c r="A217" s="7" t="s">
        <v>1284</v>
      </c>
      <c r="B217" s="7" t="s">
        <v>1285</v>
      </c>
      <c r="C217" s="7" t="s">
        <v>1286</v>
      </c>
      <c r="D217" s="7" t="s">
        <v>210</v>
      </c>
      <c r="E217" s="7" t="s">
        <v>85</v>
      </c>
      <c r="F217" s="7" t="s">
        <v>92</v>
      </c>
      <c r="G217" s="11" t="s">
        <v>55</v>
      </c>
      <c r="H217" s="11" t="s">
        <v>55</v>
      </c>
      <c r="I217" s="11" t="s">
        <v>55</v>
      </c>
      <c r="J217" s="7" t="s">
        <v>55</v>
      </c>
      <c r="K217" s="7"/>
      <c r="L217" s="14" t="str">
        <f t="shared" si="1"/>
        <v>Sim</v>
      </c>
      <c r="M217" s="11" t="s">
        <v>87</v>
      </c>
      <c r="N217" s="7"/>
      <c r="O217" s="7" t="s">
        <v>55</v>
      </c>
      <c r="P217" s="7"/>
      <c r="Q217" s="16" t="s">
        <v>55</v>
      </c>
      <c r="R217" s="16" t="s">
        <v>55</v>
      </c>
      <c r="S217" s="16" t="s">
        <v>55</v>
      </c>
      <c r="T217" s="16" t="s">
        <v>55</v>
      </c>
      <c r="U217" s="16" t="s">
        <v>55</v>
      </c>
      <c r="V217" s="16" t="s">
        <v>127</v>
      </c>
      <c r="W217" s="16"/>
      <c r="X217" s="6"/>
      <c r="Y217" s="6"/>
      <c r="Z217" s="6"/>
    </row>
    <row r="218" ht="15.0" customHeight="1">
      <c r="A218" s="7" t="s">
        <v>1287</v>
      </c>
      <c r="B218" s="7" t="s">
        <v>1288</v>
      </c>
      <c r="C218" s="7" t="s">
        <v>1289</v>
      </c>
      <c r="D218" s="7" t="s">
        <v>210</v>
      </c>
      <c r="E218" s="7" t="s">
        <v>85</v>
      </c>
      <c r="F218" s="7" t="s">
        <v>92</v>
      </c>
      <c r="G218" s="11" t="s">
        <v>57</v>
      </c>
      <c r="H218" s="11" t="s">
        <v>55</v>
      </c>
      <c r="I218" s="11" t="s">
        <v>57</v>
      </c>
      <c r="J218" s="7" t="s">
        <v>55</v>
      </c>
      <c r="K218" s="7"/>
      <c r="L218" s="14" t="str">
        <f t="shared" si="1"/>
        <v>Não</v>
      </c>
      <c r="M218" s="7"/>
      <c r="N218" s="7"/>
      <c r="O218" s="7" t="s">
        <v>55</v>
      </c>
      <c r="P218" s="7"/>
      <c r="Q218" s="16" t="s">
        <v>57</v>
      </c>
      <c r="R218" s="16" t="s">
        <v>55</v>
      </c>
      <c r="S218" s="16" t="s">
        <v>55</v>
      </c>
      <c r="T218" s="16" t="s">
        <v>55</v>
      </c>
      <c r="U218" s="16" t="s">
        <v>57</v>
      </c>
      <c r="V218" s="16" t="s">
        <v>225</v>
      </c>
      <c r="W218" s="16"/>
      <c r="X218" s="6"/>
      <c r="Y218" s="6"/>
      <c r="Z218" s="6"/>
    </row>
    <row r="219" ht="15.0" customHeight="1">
      <c r="A219" s="7" t="s">
        <v>1290</v>
      </c>
      <c r="B219" s="7" t="s">
        <v>1291</v>
      </c>
      <c r="C219" s="7" t="s">
        <v>1292</v>
      </c>
      <c r="D219" s="7" t="s">
        <v>210</v>
      </c>
      <c r="E219" s="7" t="s">
        <v>85</v>
      </c>
      <c r="F219" s="7" t="s">
        <v>92</v>
      </c>
      <c r="G219" s="11" t="s">
        <v>55</v>
      </c>
      <c r="H219" s="11" t="s">
        <v>55</v>
      </c>
      <c r="I219" s="11" t="s">
        <v>55</v>
      </c>
      <c r="J219" s="7" t="s">
        <v>55</v>
      </c>
      <c r="K219" s="7"/>
      <c r="L219" s="14" t="str">
        <f t="shared" si="1"/>
        <v>Sim</v>
      </c>
      <c r="M219" s="11" t="s">
        <v>87</v>
      </c>
      <c r="N219" s="7"/>
      <c r="O219" s="7" t="s">
        <v>55</v>
      </c>
      <c r="P219" s="7"/>
      <c r="Q219" s="16" t="s">
        <v>57</v>
      </c>
      <c r="R219" s="16" t="s">
        <v>55</v>
      </c>
      <c r="S219" s="16" t="s">
        <v>55</v>
      </c>
      <c r="T219" s="16" t="s">
        <v>55</v>
      </c>
      <c r="U219" s="16" t="s">
        <v>57</v>
      </c>
      <c r="V219" s="16" t="s">
        <v>225</v>
      </c>
      <c r="W219" s="16"/>
      <c r="X219" s="6"/>
      <c r="Y219" s="6"/>
      <c r="Z219" s="6"/>
    </row>
    <row r="220" ht="15.0" customHeight="1">
      <c r="A220" s="7" t="s">
        <v>1293</v>
      </c>
      <c r="B220" s="7" t="s">
        <v>1294</v>
      </c>
      <c r="C220" s="7" t="s">
        <v>1295</v>
      </c>
      <c r="D220" s="7" t="s">
        <v>210</v>
      </c>
      <c r="E220" s="7" t="s">
        <v>85</v>
      </c>
      <c r="F220" s="7" t="s">
        <v>92</v>
      </c>
      <c r="G220" s="11" t="s">
        <v>55</v>
      </c>
      <c r="H220" s="11" t="s">
        <v>55</v>
      </c>
      <c r="I220" s="11" t="s">
        <v>55</v>
      </c>
      <c r="J220" s="7" t="s">
        <v>55</v>
      </c>
      <c r="K220" s="7"/>
      <c r="L220" s="14" t="str">
        <f t="shared" si="1"/>
        <v>Sim</v>
      </c>
      <c r="M220" s="11" t="s">
        <v>87</v>
      </c>
      <c r="N220" s="7"/>
      <c r="O220" s="7" t="s">
        <v>55</v>
      </c>
      <c r="P220" s="7"/>
      <c r="Q220" s="16" t="s">
        <v>57</v>
      </c>
      <c r="R220" s="16" t="s">
        <v>55</v>
      </c>
      <c r="S220" s="16" t="s">
        <v>55</v>
      </c>
      <c r="T220" s="16" t="s">
        <v>55</v>
      </c>
      <c r="U220" s="16" t="s">
        <v>57</v>
      </c>
      <c r="V220" s="16" t="s">
        <v>225</v>
      </c>
      <c r="W220" s="16"/>
      <c r="X220" s="6"/>
      <c r="Y220" s="6"/>
      <c r="Z220" s="6"/>
    </row>
    <row r="221" ht="15.0" customHeight="1">
      <c r="A221" s="7" t="s">
        <v>1296</v>
      </c>
      <c r="B221" s="7" t="s">
        <v>1297</v>
      </c>
      <c r="C221" s="7" t="s">
        <v>1298</v>
      </c>
      <c r="D221" s="7" t="s">
        <v>210</v>
      </c>
      <c r="E221" s="7" t="s">
        <v>85</v>
      </c>
      <c r="F221" s="7" t="s">
        <v>92</v>
      </c>
      <c r="G221" s="11" t="s">
        <v>55</v>
      </c>
      <c r="H221" s="11" t="s">
        <v>55</v>
      </c>
      <c r="I221" s="11" t="s">
        <v>55</v>
      </c>
      <c r="J221" s="7" t="s">
        <v>55</v>
      </c>
      <c r="K221" s="7"/>
      <c r="L221" s="14" t="str">
        <f t="shared" si="1"/>
        <v>Sim</v>
      </c>
      <c r="M221" s="11" t="s">
        <v>87</v>
      </c>
      <c r="N221" s="7"/>
      <c r="O221" s="7" t="s">
        <v>55</v>
      </c>
      <c r="P221" s="7"/>
      <c r="Q221" s="16" t="s">
        <v>57</v>
      </c>
      <c r="R221" s="16" t="s">
        <v>55</v>
      </c>
      <c r="S221" s="16" t="s">
        <v>55</v>
      </c>
      <c r="T221" s="16" t="s">
        <v>55</v>
      </c>
      <c r="U221" s="16" t="s">
        <v>57</v>
      </c>
      <c r="V221" s="16" t="s">
        <v>225</v>
      </c>
      <c r="W221" s="16"/>
      <c r="X221" s="6"/>
      <c r="Y221" s="6"/>
      <c r="Z221" s="6"/>
    </row>
    <row r="222" ht="15.0" customHeight="1">
      <c r="A222" s="7" t="s">
        <v>1299</v>
      </c>
      <c r="B222" s="7" t="s">
        <v>1300</v>
      </c>
      <c r="C222" s="7" t="s">
        <v>1301</v>
      </c>
      <c r="D222" s="7" t="s">
        <v>210</v>
      </c>
      <c r="E222" s="7" t="s">
        <v>85</v>
      </c>
      <c r="F222" s="7" t="s">
        <v>92</v>
      </c>
      <c r="G222" s="11" t="s">
        <v>57</v>
      </c>
      <c r="H222" s="11" t="s">
        <v>55</v>
      </c>
      <c r="I222" s="11" t="s">
        <v>55</v>
      </c>
      <c r="J222" s="7" t="s">
        <v>55</v>
      </c>
      <c r="K222" s="7"/>
      <c r="L222" s="14" t="str">
        <f t="shared" si="1"/>
        <v>Não</v>
      </c>
      <c r="M222" s="7"/>
      <c r="N222" s="7"/>
      <c r="O222" s="7" t="s">
        <v>55</v>
      </c>
      <c r="P222" s="7"/>
      <c r="Q222" s="16" t="s">
        <v>57</v>
      </c>
      <c r="R222" s="16" t="s">
        <v>55</v>
      </c>
      <c r="S222" s="16" t="s">
        <v>55</v>
      </c>
      <c r="T222" s="16" t="s">
        <v>55</v>
      </c>
      <c r="U222" s="16" t="s">
        <v>57</v>
      </c>
      <c r="V222" s="16" t="s">
        <v>225</v>
      </c>
      <c r="W222" s="16"/>
      <c r="X222" s="6"/>
      <c r="Y222" s="6"/>
      <c r="Z222" s="6"/>
    </row>
    <row r="223" ht="15.0" customHeight="1">
      <c r="A223" s="7" t="s">
        <v>1302</v>
      </c>
      <c r="B223" s="7" t="s">
        <v>1303</v>
      </c>
      <c r="C223" s="7" t="s">
        <v>1304</v>
      </c>
      <c r="D223" s="7" t="s">
        <v>210</v>
      </c>
      <c r="E223" s="7" t="s">
        <v>85</v>
      </c>
      <c r="F223" s="7" t="s">
        <v>92</v>
      </c>
      <c r="G223" s="11" t="s">
        <v>57</v>
      </c>
      <c r="H223" s="11" t="s">
        <v>55</v>
      </c>
      <c r="I223" s="11" t="s">
        <v>55</v>
      </c>
      <c r="J223" s="7" t="s">
        <v>55</v>
      </c>
      <c r="K223" s="7"/>
      <c r="L223" s="14" t="str">
        <f t="shared" si="1"/>
        <v>Não</v>
      </c>
      <c r="M223" s="7"/>
      <c r="N223" s="7"/>
      <c r="O223" s="7" t="s">
        <v>55</v>
      </c>
      <c r="P223" s="7"/>
      <c r="Q223" s="16" t="s">
        <v>57</v>
      </c>
      <c r="R223" s="16" t="s">
        <v>55</v>
      </c>
      <c r="S223" s="16" t="s">
        <v>55</v>
      </c>
      <c r="T223" s="16" t="s">
        <v>55</v>
      </c>
      <c r="U223" s="16" t="s">
        <v>57</v>
      </c>
      <c r="V223" s="16" t="s">
        <v>225</v>
      </c>
      <c r="W223" s="16"/>
      <c r="X223" s="6"/>
      <c r="Y223" s="6"/>
      <c r="Z223" s="6"/>
    </row>
    <row r="224" ht="15.0" customHeight="1">
      <c r="A224" s="7" t="s">
        <v>1309</v>
      </c>
      <c r="B224" s="7" t="s">
        <v>1311</v>
      </c>
      <c r="C224" s="7" t="s">
        <v>1312</v>
      </c>
      <c r="D224" s="7" t="s">
        <v>210</v>
      </c>
      <c r="E224" s="7" t="s">
        <v>148</v>
      </c>
      <c r="F224" s="7" t="s">
        <v>92</v>
      </c>
      <c r="G224" s="11" t="s">
        <v>57</v>
      </c>
      <c r="H224" s="11" t="s">
        <v>55</v>
      </c>
      <c r="I224" s="11" t="s">
        <v>55</v>
      </c>
      <c r="J224" s="7" t="s">
        <v>55</v>
      </c>
      <c r="K224" s="7"/>
      <c r="L224" s="14" t="str">
        <f t="shared" si="1"/>
        <v>Não</v>
      </c>
      <c r="M224" s="7"/>
      <c r="N224" s="7"/>
      <c r="O224" s="7" t="s">
        <v>55</v>
      </c>
      <c r="P224" s="7"/>
      <c r="Q224" s="16" t="s">
        <v>57</v>
      </c>
      <c r="R224" s="16" t="s">
        <v>55</v>
      </c>
      <c r="S224" s="16" t="s">
        <v>55</v>
      </c>
      <c r="T224" s="16" t="s">
        <v>55</v>
      </c>
      <c r="U224" s="16" t="s">
        <v>57</v>
      </c>
      <c r="V224" s="16" t="s">
        <v>225</v>
      </c>
      <c r="W224" s="16"/>
      <c r="X224" s="6"/>
      <c r="Y224" s="6"/>
      <c r="Z224" s="6"/>
    </row>
    <row r="225" ht="15.0" customHeight="1">
      <c r="A225" s="7" t="s">
        <v>1315</v>
      </c>
      <c r="B225" s="7" t="s">
        <v>1316</v>
      </c>
      <c r="C225" s="7" t="s">
        <v>1317</v>
      </c>
      <c r="D225" s="7" t="s">
        <v>210</v>
      </c>
      <c r="E225" s="7" t="s">
        <v>85</v>
      </c>
      <c r="F225" s="7" t="s">
        <v>92</v>
      </c>
      <c r="G225" s="11" t="s">
        <v>55</v>
      </c>
      <c r="H225" s="11" t="s">
        <v>55</v>
      </c>
      <c r="I225" s="11" t="s">
        <v>55</v>
      </c>
      <c r="J225" s="7" t="s">
        <v>55</v>
      </c>
      <c r="K225" s="7"/>
      <c r="L225" s="14" t="str">
        <f t="shared" si="1"/>
        <v>Sim</v>
      </c>
      <c r="M225" s="11" t="s">
        <v>87</v>
      </c>
      <c r="N225" s="7"/>
      <c r="O225" s="7" t="s">
        <v>55</v>
      </c>
      <c r="P225" s="7"/>
      <c r="Q225" s="16" t="s">
        <v>55</v>
      </c>
      <c r="R225" s="16" t="s">
        <v>55</v>
      </c>
      <c r="S225" s="16" t="s">
        <v>55</v>
      </c>
      <c r="T225" s="16" t="s">
        <v>55</v>
      </c>
      <c r="U225" s="16" t="s">
        <v>55</v>
      </c>
      <c r="V225" s="16" t="s">
        <v>127</v>
      </c>
      <c r="W225" s="16"/>
      <c r="X225" s="6"/>
      <c r="Y225" s="6"/>
      <c r="Z225" s="6"/>
    </row>
    <row r="226" ht="15.0" customHeight="1">
      <c r="A226" s="7" t="s">
        <v>1319</v>
      </c>
      <c r="B226" s="7" t="s">
        <v>1320</v>
      </c>
      <c r="C226" s="7" t="s">
        <v>1321</v>
      </c>
      <c r="D226" s="7" t="s">
        <v>210</v>
      </c>
      <c r="E226" s="7" t="s">
        <v>85</v>
      </c>
      <c r="F226" s="7" t="s">
        <v>92</v>
      </c>
      <c r="G226" s="11" t="s">
        <v>55</v>
      </c>
      <c r="H226" s="11" t="s">
        <v>55</v>
      </c>
      <c r="I226" s="11" t="s">
        <v>55</v>
      </c>
      <c r="J226" s="7" t="s">
        <v>55</v>
      </c>
      <c r="K226" s="7"/>
      <c r="L226" s="14" t="str">
        <f t="shared" si="1"/>
        <v>Sim</v>
      </c>
      <c r="M226" s="11" t="s">
        <v>87</v>
      </c>
      <c r="N226" s="7"/>
      <c r="O226" s="7" t="s">
        <v>55</v>
      </c>
      <c r="P226" s="7"/>
      <c r="Q226" s="16" t="s">
        <v>57</v>
      </c>
      <c r="R226" s="16" t="s">
        <v>55</v>
      </c>
      <c r="S226" s="16" t="s">
        <v>55</v>
      </c>
      <c r="T226" s="16" t="s">
        <v>55</v>
      </c>
      <c r="U226" s="16" t="s">
        <v>57</v>
      </c>
      <c r="V226" s="16" t="s">
        <v>225</v>
      </c>
      <c r="W226" s="16"/>
      <c r="X226" s="6"/>
      <c r="Y226" s="6"/>
      <c r="Z226" s="6"/>
    </row>
    <row r="227" ht="15.0" customHeight="1">
      <c r="A227" s="7" t="s">
        <v>1322</v>
      </c>
      <c r="B227" s="7" t="s">
        <v>1323</v>
      </c>
      <c r="C227" s="11" t="s">
        <v>1324</v>
      </c>
      <c r="D227" s="7" t="s">
        <v>210</v>
      </c>
      <c r="E227" s="7" t="s">
        <v>85</v>
      </c>
      <c r="F227" s="7" t="s">
        <v>92</v>
      </c>
      <c r="G227" s="11" t="s">
        <v>57</v>
      </c>
      <c r="H227" s="11" t="s">
        <v>55</v>
      </c>
      <c r="I227" s="11" t="s">
        <v>55</v>
      </c>
      <c r="J227" s="7" t="s">
        <v>55</v>
      </c>
      <c r="K227" s="7"/>
      <c r="L227" s="14" t="str">
        <f t="shared" si="1"/>
        <v>Não</v>
      </c>
      <c r="M227" s="7"/>
      <c r="N227" s="7"/>
      <c r="O227" s="7" t="s">
        <v>55</v>
      </c>
      <c r="P227" s="7"/>
      <c r="Q227" s="16" t="s">
        <v>57</v>
      </c>
      <c r="R227" s="16" t="s">
        <v>55</v>
      </c>
      <c r="S227" s="16" t="s">
        <v>55</v>
      </c>
      <c r="T227" s="16" t="s">
        <v>55</v>
      </c>
      <c r="U227" s="16" t="s">
        <v>57</v>
      </c>
      <c r="V227" s="16" t="s">
        <v>225</v>
      </c>
      <c r="W227" s="16"/>
      <c r="X227" s="6"/>
      <c r="Y227" s="6"/>
      <c r="Z227" s="6"/>
    </row>
    <row r="228" ht="15.0" customHeight="1">
      <c r="A228" s="7" t="s">
        <v>1325</v>
      </c>
      <c r="B228" s="7" t="s">
        <v>1326</v>
      </c>
      <c r="C228" s="7" t="s">
        <v>1327</v>
      </c>
      <c r="D228" s="7" t="s">
        <v>210</v>
      </c>
      <c r="E228" s="7" t="s">
        <v>85</v>
      </c>
      <c r="F228" s="7" t="s">
        <v>92</v>
      </c>
      <c r="G228" s="11" t="s">
        <v>55</v>
      </c>
      <c r="H228" s="11" t="s">
        <v>55</v>
      </c>
      <c r="I228" s="11" t="s">
        <v>55</v>
      </c>
      <c r="J228" s="7" t="s">
        <v>55</v>
      </c>
      <c r="K228" s="7"/>
      <c r="L228" s="14" t="str">
        <f t="shared" si="1"/>
        <v>Sim</v>
      </c>
      <c r="M228" s="11" t="s">
        <v>87</v>
      </c>
      <c r="N228" s="7"/>
      <c r="O228" s="7" t="s">
        <v>55</v>
      </c>
      <c r="P228" s="7"/>
      <c r="Q228" s="16" t="s">
        <v>57</v>
      </c>
      <c r="R228" s="16" t="s">
        <v>55</v>
      </c>
      <c r="S228" s="16" t="s">
        <v>55</v>
      </c>
      <c r="T228" s="16" t="s">
        <v>55</v>
      </c>
      <c r="U228" s="16" t="s">
        <v>57</v>
      </c>
      <c r="V228" s="16" t="s">
        <v>225</v>
      </c>
      <c r="W228" s="16"/>
      <c r="X228" s="6"/>
      <c r="Y228" s="6"/>
      <c r="Z228" s="6"/>
    </row>
    <row r="229" ht="15.0" customHeight="1">
      <c r="A229" s="7" t="s">
        <v>1328</v>
      </c>
      <c r="B229" s="7" t="s">
        <v>1329</v>
      </c>
      <c r="C229" s="7" t="s">
        <v>1330</v>
      </c>
      <c r="D229" s="7" t="s">
        <v>210</v>
      </c>
      <c r="E229" s="7" t="s">
        <v>85</v>
      </c>
      <c r="F229" s="7" t="s">
        <v>92</v>
      </c>
      <c r="G229" s="11" t="s">
        <v>57</v>
      </c>
      <c r="H229" s="11" t="s">
        <v>55</v>
      </c>
      <c r="I229" s="11" t="s">
        <v>55</v>
      </c>
      <c r="J229" s="7" t="s">
        <v>55</v>
      </c>
      <c r="K229" s="7"/>
      <c r="L229" s="14" t="str">
        <f t="shared" si="1"/>
        <v>Não</v>
      </c>
      <c r="M229" s="7"/>
      <c r="N229" s="7"/>
      <c r="O229" s="7" t="s">
        <v>55</v>
      </c>
      <c r="P229" s="7"/>
      <c r="Q229" s="16" t="s">
        <v>57</v>
      </c>
      <c r="R229" s="16" t="s">
        <v>55</v>
      </c>
      <c r="S229" s="16" t="s">
        <v>55</v>
      </c>
      <c r="T229" s="16" t="s">
        <v>55</v>
      </c>
      <c r="U229" s="16" t="s">
        <v>57</v>
      </c>
      <c r="V229" s="16" t="s">
        <v>225</v>
      </c>
      <c r="W229" s="16"/>
      <c r="X229" s="6"/>
      <c r="Y229" s="6"/>
      <c r="Z229" s="6"/>
    </row>
    <row r="230" ht="15.0" customHeight="1">
      <c r="A230" s="7" t="s">
        <v>1331</v>
      </c>
      <c r="B230" s="7" t="s">
        <v>1332</v>
      </c>
      <c r="C230" s="7" t="s">
        <v>1333</v>
      </c>
      <c r="D230" s="7" t="s">
        <v>210</v>
      </c>
      <c r="E230" s="7" t="s">
        <v>250</v>
      </c>
      <c r="F230" s="7" t="s">
        <v>92</v>
      </c>
      <c r="G230" s="11" t="s">
        <v>57</v>
      </c>
      <c r="H230" s="11" t="s">
        <v>55</v>
      </c>
      <c r="I230" s="11" t="s">
        <v>55</v>
      </c>
      <c r="J230" s="7" t="s">
        <v>55</v>
      </c>
      <c r="K230" s="7"/>
      <c r="L230" s="14" t="str">
        <f t="shared" si="1"/>
        <v>Não</v>
      </c>
      <c r="M230" s="7"/>
      <c r="N230" s="7"/>
      <c r="O230" s="7" t="s">
        <v>55</v>
      </c>
      <c r="P230" s="7"/>
      <c r="Q230" s="16" t="s">
        <v>55</v>
      </c>
      <c r="R230" s="16" t="s">
        <v>55</v>
      </c>
      <c r="S230" s="16" t="s">
        <v>55</v>
      </c>
      <c r="T230" s="16" t="s">
        <v>55</v>
      </c>
      <c r="U230" s="16" t="s">
        <v>55</v>
      </c>
      <c r="V230" s="16" t="s">
        <v>127</v>
      </c>
      <c r="W230" s="16"/>
      <c r="X230" s="6"/>
      <c r="Y230" s="6"/>
      <c r="Z230" s="6"/>
    </row>
    <row r="231" ht="15.0" customHeight="1">
      <c r="A231" s="7" t="s">
        <v>1334</v>
      </c>
      <c r="B231" s="7" t="s">
        <v>1335</v>
      </c>
      <c r="C231" s="7" t="s">
        <v>1336</v>
      </c>
      <c r="D231" s="7" t="s">
        <v>210</v>
      </c>
      <c r="E231" s="7" t="s">
        <v>148</v>
      </c>
      <c r="F231" s="7" t="s">
        <v>92</v>
      </c>
      <c r="G231" s="11" t="s">
        <v>57</v>
      </c>
      <c r="H231" s="11" t="s">
        <v>55</v>
      </c>
      <c r="I231" s="11" t="s">
        <v>55</v>
      </c>
      <c r="J231" s="7" t="s">
        <v>55</v>
      </c>
      <c r="K231" s="7"/>
      <c r="L231" s="14" t="str">
        <f t="shared" si="1"/>
        <v>Não</v>
      </c>
      <c r="M231" s="7"/>
      <c r="N231" s="7"/>
      <c r="O231" s="7" t="s">
        <v>55</v>
      </c>
      <c r="P231" s="7"/>
      <c r="Q231" s="16" t="s">
        <v>57</v>
      </c>
      <c r="R231" s="16" t="s">
        <v>55</v>
      </c>
      <c r="S231" s="16" t="s">
        <v>55</v>
      </c>
      <c r="T231" s="16" t="s">
        <v>55</v>
      </c>
      <c r="U231" s="16" t="s">
        <v>57</v>
      </c>
      <c r="V231" s="16" t="s">
        <v>225</v>
      </c>
      <c r="W231" s="16"/>
      <c r="X231" s="6"/>
      <c r="Y231" s="6"/>
      <c r="Z231" s="6"/>
    </row>
    <row r="232" ht="15.0" customHeight="1">
      <c r="A232" s="7" t="s">
        <v>1337</v>
      </c>
      <c r="B232" s="7" t="s">
        <v>1338</v>
      </c>
      <c r="C232" s="7" t="s">
        <v>1339</v>
      </c>
      <c r="D232" s="7" t="s">
        <v>210</v>
      </c>
      <c r="E232" s="7" t="s">
        <v>85</v>
      </c>
      <c r="F232" s="7" t="s">
        <v>92</v>
      </c>
      <c r="G232" s="11" t="s">
        <v>57</v>
      </c>
      <c r="H232" s="11" t="s">
        <v>55</v>
      </c>
      <c r="I232" s="11" t="s">
        <v>55</v>
      </c>
      <c r="J232" s="7" t="s">
        <v>55</v>
      </c>
      <c r="K232" s="7"/>
      <c r="L232" s="14" t="str">
        <f t="shared" si="1"/>
        <v>Não</v>
      </c>
      <c r="M232" s="7"/>
      <c r="N232" s="7"/>
      <c r="O232" s="7" t="s">
        <v>55</v>
      </c>
      <c r="P232" s="7"/>
      <c r="Q232" s="16" t="s">
        <v>57</v>
      </c>
      <c r="R232" s="16" t="s">
        <v>55</v>
      </c>
      <c r="S232" s="16" t="s">
        <v>55</v>
      </c>
      <c r="T232" s="16" t="s">
        <v>55</v>
      </c>
      <c r="U232" s="16" t="s">
        <v>57</v>
      </c>
      <c r="V232" s="16" t="s">
        <v>225</v>
      </c>
      <c r="W232" s="16"/>
      <c r="X232" s="6"/>
      <c r="Y232" s="6"/>
      <c r="Z232" s="6"/>
    </row>
    <row r="233" ht="15.0" customHeight="1">
      <c r="A233" s="7" t="s">
        <v>1340</v>
      </c>
      <c r="B233" s="7" t="s">
        <v>1341</v>
      </c>
      <c r="C233" s="7" t="s">
        <v>1342</v>
      </c>
      <c r="D233" s="7" t="s">
        <v>210</v>
      </c>
      <c r="E233" s="7" t="s">
        <v>286</v>
      </c>
      <c r="F233" s="7" t="s">
        <v>92</v>
      </c>
      <c r="G233" s="11" t="s">
        <v>55</v>
      </c>
      <c r="H233" s="11" t="s">
        <v>55</v>
      </c>
      <c r="I233" s="11" t="s">
        <v>55</v>
      </c>
      <c r="J233" s="7" t="s">
        <v>55</v>
      </c>
      <c r="K233" s="7"/>
      <c r="L233" s="14" t="str">
        <f t="shared" si="1"/>
        <v>Sim</v>
      </c>
      <c r="M233" s="11" t="s">
        <v>87</v>
      </c>
      <c r="N233" s="7"/>
      <c r="O233" s="7" t="s">
        <v>55</v>
      </c>
      <c r="P233" s="7"/>
      <c r="Q233" s="16" t="s">
        <v>55</v>
      </c>
      <c r="R233" s="16" t="s">
        <v>55</v>
      </c>
      <c r="S233" s="16" t="s">
        <v>55</v>
      </c>
      <c r="T233" s="16" t="s">
        <v>55</v>
      </c>
      <c r="U233" s="16" t="s">
        <v>55</v>
      </c>
      <c r="V233" s="16" t="s">
        <v>127</v>
      </c>
      <c r="W233" s="16"/>
      <c r="X233" s="6"/>
      <c r="Y233" s="6"/>
      <c r="Z233" s="6"/>
    </row>
    <row r="234" ht="15.0" customHeight="1">
      <c r="A234" s="7" t="s">
        <v>1344</v>
      </c>
      <c r="B234" s="7" t="s">
        <v>1346</v>
      </c>
      <c r="C234" s="7" t="s">
        <v>1348</v>
      </c>
      <c r="D234" s="7" t="s">
        <v>210</v>
      </c>
      <c r="E234" s="7" t="s">
        <v>80</v>
      </c>
      <c r="F234" s="7" t="s">
        <v>92</v>
      </c>
      <c r="G234" s="11" t="s">
        <v>57</v>
      </c>
      <c r="H234" s="11" t="s">
        <v>55</v>
      </c>
      <c r="I234" s="11" t="s">
        <v>55</v>
      </c>
      <c r="J234" s="7" t="s">
        <v>55</v>
      </c>
      <c r="K234" s="7"/>
      <c r="L234" s="14" t="str">
        <f t="shared" si="1"/>
        <v>Não</v>
      </c>
      <c r="M234" s="7"/>
      <c r="N234" s="7"/>
      <c r="O234" s="7" t="s">
        <v>55</v>
      </c>
      <c r="P234" s="7"/>
      <c r="Q234" s="16" t="s">
        <v>57</v>
      </c>
      <c r="R234" s="16" t="s">
        <v>55</v>
      </c>
      <c r="S234" s="16" t="s">
        <v>55</v>
      </c>
      <c r="T234" s="16" t="s">
        <v>55</v>
      </c>
      <c r="U234" s="16" t="s">
        <v>57</v>
      </c>
      <c r="V234" s="16" t="s">
        <v>225</v>
      </c>
      <c r="W234" s="16"/>
      <c r="X234" s="6"/>
      <c r="Y234" s="6"/>
      <c r="Z234" s="6"/>
    </row>
    <row r="235" ht="15.0" customHeight="1">
      <c r="A235" s="7" t="s">
        <v>1353</v>
      </c>
      <c r="B235" s="7" t="s">
        <v>1354</v>
      </c>
      <c r="C235" s="7" t="s">
        <v>1355</v>
      </c>
      <c r="D235" s="7" t="s">
        <v>210</v>
      </c>
      <c r="E235" s="7" t="s">
        <v>85</v>
      </c>
      <c r="F235" s="7" t="s">
        <v>92</v>
      </c>
      <c r="G235" s="11" t="s">
        <v>55</v>
      </c>
      <c r="H235" s="11" t="s">
        <v>55</v>
      </c>
      <c r="I235" s="11" t="s">
        <v>55</v>
      </c>
      <c r="J235" s="7" t="s">
        <v>55</v>
      </c>
      <c r="K235" s="7"/>
      <c r="L235" s="14" t="str">
        <f t="shared" si="1"/>
        <v>Sim</v>
      </c>
      <c r="M235" s="11" t="s">
        <v>87</v>
      </c>
      <c r="N235" s="7"/>
      <c r="O235" s="7" t="s">
        <v>55</v>
      </c>
      <c r="P235" s="7"/>
      <c r="Q235" s="16" t="s">
        <v>55</v>
      </c>
      <c r="R235" s="16" t="s">
        <v>57</v>
      </c>
      <c r="S235" s="16" t="s">
        <v>57</v>
      </c>
      <c r="T235" s="16" t="s">
        <v>55</v>
      </c>
      <c r="U235" s="16" t="s">
        <v>57</v>
      </c>
      <c r="V235" s="16" t="s">
        <v>99</v>
      </c>
      <c r="W235" s="16"/>
      <c r="X235" s="6"/>
      <c r="Y235" s="6"/>
      <c r="Z235" s="6"/>
    </row>
    <row r="236" ht="15.0" customHeight="1">
      <c r="A236" s="7" t="s">
        <v>1356</v>
      </c>
      <c r="B236" s="7" t="s">
        <v>1357</v>
      </c>
      <c r="C236" s="7" t="s">
        <v>1358</v>
      </c>
      <c r="D236" s="7" t="s">
        <v>210</v>
      </c>
      <c r="E236" s="7" t="s">
        <v>300</v>
      </c>
      <c r="F236" s="7" t="s">
        <v>92</v>
      </c>
      <c r="G236" s="7" t="s">
        <v>57</v>
      </c>
      <c r="H236" s="7" t="s">
        <v>55</v>
      </c>
      <c r="I236" s="7" t="s">
        <v>55</v>
      </c>
      <c r="J236" s="7" t="s">
        <v>55</v>
      </c>
      <c r="K236" s="7"/>
      <c r="L236" s="14" t="str">
        <f t="shared" si="1"/>
        <v>Não</v>
      </c>
      <c r="M236" s="7"/>
      <c r="N236" s="7"/>
      <c r="O236" s="7" t="s">
        <v>55</v>
      </c>
      <c r="P236" s="7"/>
      <c r="Q236" s="16" t="s">
        <v>57</v>
      </c>
      <c r="R236" s="16" t="s">
        <v>55</v>
      </c>
      <c r="S236" s="16" t="s">
        <v>55</v>
      </c>
      <c r="T236" s="16" t="s">
        <v>55</v>
      </c>
      <c r="U236" s="16" t="s">
        <v>57</v>
      </c>
      <c r="V236" s="16" t="s">
        <v>225</v>
      </c>
      <c r="W236" s="16"/>
      <c r="X236" s="6"/>
      <c r="Y236" s="6"/>
      <c r="Z236" s="6"/>
    </row>
    <row r="237" ht="15.0" customHeight="1">
      <c r="A237" s="7" t="s">
        <v>1360</v>
      </c>
      <c r="B237" s="7" t="s">
        <v>1361</v>
      </c>
      <c r="C237" s="7" t="s">
        <v>1362</v>
      </c>
      <c r="D237" s="7" t="s">
        <v>210</v>
      </c>
      <c r="E237" s="7" t="s">
        <v>138</v>
      </c>
      <c r="F237" s="7" t="s">
        <v>92</v>
      </c>
      <c r="G237" s="7" t="s">
        <v>57</v>
      </c>
      <c r="H237" s="7" t="s">
        <v>55</v>
      </c>
      <c r="I237" s="7" t="s">
        <v>55</v>
      </c>
      <c r="J237" s="7" t="s">
        <v>55</v>
      </c>
      <c r="K237" s="7"/>
      <c r="L237" s="14" t="str">
        <f t="shared" si="1"/>
        <v>Não</v>
      </c>
      <c r="M237" s="7"/>
      <c r="N237" s="7"/>
      <c r="O237" s="7" t="s">
        <v>55</v>
      </c>
      <c r="P237" s="7"/>
      <c r="Q237" s="16" t="s">
        <v>57</v>
      </c>
      <c r="R237" s="16" t="s">
        <v>55</v>
      </c>
      <c r="S237" s="16" t="s">
        <v>55</v>
      </c>
      <c r="T237" s="16" t="s">
        <v>55</v>
      </c>
      <c r="U237" s="16" t="s">
        <v>57</v>
      </c>
      <c r="V237" s="16" t="s">
        <v>225</v>
      </c>
      <c r="W237" s="16"/>
      <c r="X237" s="6"/>
      <c r="Y237" s="6"/>
      <c r="Z237" s="6"/>
    </row>
    <row r="238" ht="15.0" customHeight="1">
      <c r="A238" s="7" t="s">
        <v>1363</v>
      </c>
      <c r="B238" s="7" t="s">
        <v>1364</v>
      </c>
      <c r="C238" s="7" t="s">
        <v>1365</v>
      </c>
      <c r="D238" s="7" t="s">
        <v>210</v>
      </c>
      <c r="E238" s="7" t="s">
        <v>138</v>
      </c>
      <c r="F238" s="7" t="s">
        <v>92</v>
      </c>
      <c r="G238" s="7" t="s">
        <v>57</v>
      </c>
      <c r="H238" s="7" t="s">
        <v>55</v>
      </c>
      <c r="I238" s="7" t="s">
        <v>55</v>
      </c>
      <c r="J238" s="7" t="s">
        <v>55</v>
      </c>
      <c r="K238" s="7"/>
      <c r="L238" s="14" t="str">
        <f t="shared" si="1"/>
        <v>Não</v>
      </c>
      <c r="M238" s="7"/>
      <c r="N238" s="7"/>
      <c r="O238" s="7" t="s">
        <v>55</v>
      </c>
      <c r="P238" s="7"/>
      <c r="Q238" s="16" t="s">
        <v>57</v>
      </c>
      <c r="R238" s="16" t="s">
        <v>55</v>
      </c>
      <c r="S238" s="16" t="s">
        <v>55</v>
      </c>
      <c r="T238" s="16" t="s">
        <v>55</v>
      </c>
      <c r="U238" s="16" t="s">
        <v>57</v>
      </c>
      <c r="V238" s="16" t="s">
        <v>225</v>
      </c>
      <c r="W238" s="16"/>
      <c r="X238" s="6"/>
      <c r="Y238" s="6"/>
      <c r="Z238" s="6"/>
    </row>
    <row r="239" ht="15.0" customHeight="1">
      <c r="A239" s="7" t="s">
        <v>1366</v>
      </c>
      <c r="B239" s="7" t="s">
        <v>1367</v>
      </c>
      <c r="C239" s="7" t="s">
        <v>1368</v>
      </c>
      <c r="D239" s="7" t="s">
        <v>210</v>
      </c>
      <c r="E239" s="7" t="s">
        <v>138</v>
      </c>
      <c r="F239" s="7" t="s">
        <v>92</v>
      </c>
      <c r="G239" s="7" t="s">
        <v>55</v>
      </c>
      <c r="H239" s="7" t="s">
        <v>55</v>
      </c>
      <c r="I239" s="7" t="s">
        <v>55</v>
      </c>
      <c r="J239" s="7" t="s">
        <v>55</v>
      </c>
      <c r="K239" s="11" t="s">
        <v>1369</v>
      </c>
      <c r="L239" s="14" t="str">
        <f t="shared" si="1"/>
        <v>Não</v>
      </c>
      <c r="M239" s="7"/>
      <c r="N239" s="7"/>
      <c r="O239" s="7" t="s">
        <v>55</v>
      </c>
      <c r="P239" s="7"/>
      <c r="Q239" s="16" t="s">
        <v>55</v>
      </c>
      <c r="R239" s="16" t="s">
        <v>55</v>
      </c>
      <c r="S239" s="16" t="s">
        <v>55</v>
      </c>
      <c r="T239" s="16" t="s">
        <v>55</v>
      </c>
      <c r="U239" s="16" t="s">
        <v>55</v>
      </c>
      <c r="V239" s="16" t="s">
        <v>127</v>
      </c>
      <c r="W239" s="16" t="s">
        <v>1370</v>
      </c>
      <c r="X239" s="6"/>
      <c r="Y239" s="6"/>
      <c r="Z239" s="6"/>
    </row>
    <row r="240" ht="27.0" customHeight="1">
      <c r="A240" s="7" t="s">
        <v>1371</v>
      </c>
      <c r="B240" s="7" t="s">
        <v>1372</v>
      </c>
      <c r="C240" s="7" t="s">
        <v>1373</v>
      </c>
      <c r="D240" s="7" t="s">
        <v>210</v>
      </c>
      <c r="E240" s="7" t="s">
        <v>138</v>
      </c>
      <c r="F240" s="7" t="s">
        <v>92</v>
      </c>
      <c r="G240" s="7" t="s">
        <v>55</v>
      </c>
      <c r="H240" s="7" t="s">
        <v>55</v>
      </c>
      <c r="I240" s="7" t="s">
        <v>55</v>
      </c>
      <c r="J240" s="7" t="s">
        <v>55</v>
      </c>
      <c r="K240" s="11" t="s">
        <v>1374</v>
      </c>
      <c r="L240" s="14" t="str">
        <f t="shared" si="1"/>
        <v>Não</v>
      </c>
      <c r="M240" s="7"/>
      <c r="N240" s="7"/>
      <c r="O240" s="7" t="s">
        <v>55</v>
      </c>
      <c r="P240" s="7"/>
      <c r="Q240" s="16" t="s">
        <v>55</v>
      </c>
      <c r="R240" s="16" t="s">
        <v>55</v>
      </c>
      <c r="S240" s="16" t="s">
        <v>55</v>
      </c>
      <c r="T240" s="16" t="s">
        <v>55</v>
      </c>
      <c r="U240" s="16" t="s">
        <v>55</v>
      </c>
      <c r="V240" s="16" t="s">
        <v>127</v>
      </c>
      <c r="W240" s="16" t="s">
        <v>1375</v>
      </c>
      <c r="X240" s="6"/>
      <c r="Y240" s="6"/>
      <c r="Z240" s="6"/>
    </row>
    <row r="241" ht="15.0" customHeight="1">
      <c r="A241" s="7" t="s">
        <v>1376</v>
      </c>
      <c r="B241" s="7" t="s">
        <v>1377</v>
      </c>
      <c r="C241" s="7" t="s">
        <v>1378</v>
      </c>
      <c r="D241" s="7" t="s">
        <v>210</v>
      </c>
      <c r="E241" s="7" t="s">
        <v>148</v>
      </c>
      <c r="F241" s="7" t="s">
        <v>92</v>
      </c>
      <c r="G241" s="7" t="s">
        <v>57</v>
      </c>
      <c r="H241" s="7" t="s">
        <v>55</v>
      </c>
      <c r="I241" s="7" t="s">
        <v>55</v>
      </c>
      <c r="J241" s="7" t="s">
        <v>55</v>
      </c>
      <c r="K241" s="7"/>
      <c r="L241" s="14" t="str">
        <f t="shared" si="1"/>
        <v>Não</v>
      </c>
      <c r="M241" s="7"/>
      <c r="N241" s="7"/>
      <c r="O241" s="7" t="s">
        <v>55</v>
      </c>
      <c r="P241" s="7"/>
      <c r="Q241" s="16" t="s">
        <v>57</v>
      </c>
      <c r="R241" s="16" t="s">
        <v>55</v>
      </c>
      <c r="S241" s="16" t="s">
        <v>55</v>
      </c>
      <c r="T241" s="16" t="s">
        <v>55</v>
      </c>
      <c r="U241" s="16" t="s">
        <v>57</v>
      </c>
      <c r="V241" s="16" t="s">
        <v>225</v>
      </c>
      <c r="W241" s="16"/>
      <c r="X241" s="6"/>
      <c r="Y241" s="6"/>
      <c r="Z241" s="6"/>
    </row>
    <row r="242" ht="15.0" customHeight="1">
      <c r="A242" s="7" t="s">
        <v>1379</v>
      </c>
      <c r="B242" s="7" t="s">
        <v>1380</v>
      </c>
      <c r="C242" s="7" t="s">
        <v>1381</v>
      </c>
      <c r="D242" s="7" t="s">
        <v>210</v>
      </c>
      <c r="E242" s="7" t="s">
        <v>138</v>
      </c>
      <c r="F242" s="7" t="s">
        <v>92</v>
      </c>
      <c r="G242" s="7" t="s">
        <v>57</v>
      </c>
      <c r="H242" s="7" t="s">
        <v>55</v>
      </c>
      <c r="I242" s="7" t="s">
        <v>55</v>
      </c>
      <c r="J242" s="7" t="s">
        <v>55</v>
      </c>
      <c r="K242" s="7"/>
      <c r="L242" s="14" t="str">
        <f t="shared" si="1"/>
        <v>Não</v>
      </c>
      <c r="M242" s="7"/>
      <c r="N242" s="7"/>
      <c r="O242" s="7" t="s">
        <v>55</v>
      </c>
      <c r="P242" s="7"/>
      <c r="Q242" s="16" t="s">
        <v>57</v>
      </c>
      <c r="R242" s="16" t="s">
        <v>55</v>
      </c>
      <c r="S242" s="16" t="s">
        <v>55</v>
      </c>
      <c r="T242" s="16" t="s">
        <v>55</v>
      </c>
      <c r="U242" s="16" t="s">
        <v>57</v>
      </c>
      <c r="V242" s="16" t="s">
        <v>225</v>
      </c>
      <c r="W242" s="16"/>
      <c r="X242" s="6"/>
      <c r="Y242" s="6"/>
      <c r="Z242" s="6"/>
    </row>
    <row r="243" ht="15.0" customHeight="1">
      <c r="A243" s="7" t="s">
        <v>1382</v>
      </c>
      <c r="B243" s="7" t="s">
        <v>1383</v>
      </c>
      <c r="C243" s="7" t="s">
        <v>1384</v>
      </c>
      <c r="D243" s="7" t="s">
        <v>210</v>
      </c>
      <c r="E243" s="7" t="s">
        <v>138</v>
      </c>
      <c r="F243" s="7" t="s">
        <v>92</v>
      </c>
      <c r="G243" s="7" t="s">
        <v>57</v>
      </c>
      <c r="H243" s="7" t="s">
        <v>55</v>
      </c>
      <c r="I243" s="7" t="s">
        <v>55</v>
      </c>
      <c r="J243" s="7" t="s">
        <v>55</v>
      </c>
      <c r="K243" s="7"/>
      <c r="L243" s="14" t="str">
        <f t="shared" si="1"/>
        <v>Não</v>
      </c>
      <c r="M243" s="7"/>
      <c r="N243" s="7"/>
      <c r="O243" s="7" t="s">
        <v>55</v>
      </c>
      <c r="P243" s="7"/>
      <c r="Q243" s="16" t="s">
        <v>57</v>
      </c>
      <c r="R243" s="16" t="s">
        <v>55</v>
      </c>
      <c r="S243" s="16" t="s">
        <v>55</v>
      </c>
      <c r="T243" s="16" t="s">
        <v>55</v>
      </c>
      <c r="U243" s="16" t="s">
        <v>57</v>
      </c>
      <c r="V243" s="16" t="s">
        <v>225</v>
      </c>
      <c r="W243" s="16"/>
      <c r="X243" s="6"/>
      <c r="Y243" s="6"/>
      <c r="Z243" s="6"/>
    </row>
    <row r="244" ht="15.0" customHeight="1">
      <c r="A244" s="7" t="s">
        <v>1388</v>
      </c>
      <c r="B244" s="7" t="s">
        <v>1389</v>
      </c>
      <c r="C244" s="7" t="s">
        <v>1390</v>
      </c>
      <c r="D244" s="7" t="s">
        <v>210</v>
      </c>
      <c r="E244" s="7" t="s">
        <v>138</v>
      </c>
      <c r="F244" s="7" t="s">
        <v>92</v>
      </c>
      <c r="G244" s="7" t="s">
        <v>55</v>
      </c>
      <c r="H244" s="7" t="s">
        <v>55</v>
      </c>
      <c r="I244" s="7" t="s">
        <v>55</v>
      </c>
      <c r="J244" s="7" t="s">
        <v>55</v>
      </c>
      <c r="K244" s="11" t="s">
        <v>1392</v>
      </c>
      <c r="L244" s="14" t="str">
        <f t="shared" si="1"/>
        <v>Não</v>
      </c>
      <c r="M244" s="7"/>
      <c r="N244" s="7"/>
      <c r="O244" s="7" t="s">
        <v>55</v>
      </c>
      <c r="P244" s="7"/>
      <c r="Q244" s="16" t="s">
        <v>55</v>
      </c>
      <c r="R244" s="16" t="s">
        <v>55</v>
      </c>
      <c r="S244" s="16" t="s">
        <v>55</v>
      </c>
      <c r="T244" s="16" t="s">
        <v>55</v>
      </c>
      <c r="U244" s="16" t="s">
        <v>55</v>
      </c>
      <c r="V244" s="16" t="s">
        <v>127</v>
      </c>
      <c r="W244" s="16" t="s">
        <v>1395</v>
      </c>
      <c r="X244" s="6"/>
      <c r="Y244" s="6"/>
      <c r="Z244" s="6"/>
    </row>
    <row r="245" ht="15.0" customHeight="1">
      <c r="A245" s="7" t="s">
        <v>1396</v>
      </c>
      <c r="B245" s="7" t="s">
        <v>1397</v>
      </c>
      <c r="C245" s="7" t="s">
        <v>1398</v>
      </c>
      <c r="D245" s="7" t="s">
        <v>210</v>
      </c>
      <c r="E245" s="7" t="s">
        <v>138</v>
      </c>
      <c r="F245" s="7" t="s">
        <v>92</v>
      </c>
      <c r="G245" s="7" t="s">
        <v>55</v>
      </c>
      <c r="H245" s="7" t="s">
        <v>55</v>
      </c>
      <c r="I245" s="7" t="s">
        <v>55</v>
      </c>
      <c r="J245" s="7" t="s">
        <v>55</v>
      </c>
      <c r="K245" s="11" t="s">
        <v>1399</v>
      </c>
      <c r="L245" s="14" t="str">
        <f t="shared" si="1"/>
        <v>Não</v>
      </c>
      <c r="M245" s="7"/>
      <c r="N245" s="7"/>
      <c r="O245" s="7" t="s">
        <v>55</v>
      </c>
      <c r="P245" s="7"/>
      <c r="Q245" s="16" t="s">
        <v>55</v>
      </c>
      <c r="R245" s="16" t="s">
        <v>55</v>
      </c>
      <c r="S245" s="16" t="s">
        <v>55</v>
      </c>
      <c r="T245" s="16" t="s">
        <v>55</v>
      </c>
      <c r="U245" s="16" t="s">
        <v>55</v>
      </c>
      <c r="V245" s="16" t="s">
        <v>127</v>
      </c>
      <c r="W245" s="16" t="s">
        <v>1400</v>
      </c>
      <c r="X245" s="6"/>
      <c r="Y245" s="6"/>
      <c r="Z245" s="6"/>
    </row>
    <row r="246" ht="15.0" customHeight="1">
      <c r="A246" s="7" t="s">
        <v>1401</v>
      </c>
      <c r="B246" s="7" t="s">
        <v>1402</v>
      </c>
      <c r="C246" s="7" t="s">
        <v>1403</v>
      </c>
      <c r="D246" s="7" t="s">
        <v>210</v>
      </c>
      <c r="E246" s="7" t="s">
        <v>138</v>
      </c>
      <c r="F246" s="7" t="s">
        <v>92</v>
      </c>
      <c r="G246" s="7" t="s">
        <v>55</v>
      </c>
      <c r="H246" s="7" t="s">
        <v>55</v>
      </c>
      <c r="I246" s="7" t="s">
        <v>55</v>
      </c>
      <c r="J246" s="7" t="s">
        <v>55</v>
      </c>
      <c r="K246" s="7"/>
      <c r="L246" s="14" t="str">
        <f t="shared" si="1"/>
        <v>Sim</v>
      </c>
      <c r="M246" s="7"/>
      <c r="N246" s="7"/>
      <c r="O246" s="7" t="s">
        <v>55</v>
      </c>
      <c r="P246" s="7"/>
      <c r="Q246" s="16" t="s">
        <v>55</v>
      </c>
      <c r="R246" s="16" t="s">
        <v>55</v>
      </c>
      <c r="S246" s="16" t="s">
        <v>55</v>
      </c>
      <c r="T246" s="16" t="s">
        <v>55</v>
      </c>
      <c r="U246" s="16" t="s">
        <v>55</v>
      </c>
      <c r="V246" s="16" t="s">
        <v>184</v>
      </c>
      <c r="W246" s="16"/>
      <c r="X246" s="6"/>
      <c r="Y246" s="6"/>
      <c r="Z246" s="6"/>
    </row>
    <row r="247" ht="15.0" customHeight="1">
      <c r="A247" s="7" t="s">
        <v>1404</v>
      </c>
      <c r="B247" s="7" t="s">
        <v>1405</v>
      </c>
      <c r="C247" s="7" t="s">
        <v>1406</v>
      </c>
      <c r="D247" s="7" t="s">
        <v>210</v>
      </c>
      <c r="E247" s="7" t="s">
        <v>138</v>
      </c>
      <c r="F247" s="7" t="s">
        <v>92</v>
      </c>
      <c r="G247" s="7" t="s">
        <v>55</v>
      </c>
      <c r="H247" s="7" t="s">
        <v>55</v>
      </c>
      <c r="I247" s="7" t="s">
        <v>55</v>
      </c>
      <c r="J247" s="7" t="s">
        <v>55</v>
      </c>
      <c r="K247" s="7"/>
      <c r="L247" s="14" t="str">
        <f t="shared" si="1"/>
        <v>Sim</v>
      </c>
      <c r="M247" s="7"/>
      <c r="N247" s="7"/>
      <c r="O247" s="7" t="s">
        <v>55</v>
      </c>
      <c r="P247" s="7"/>
      <c r="Q247" s="16" t="s">
        <v>55</v>
      </c>
      <c r="R247" s="16" t="s">
        <v>55</v>
      </c>
      <c r="S247" s="16" t="s">
        <v>55</v>
      </c>
      <c r="T247" s="16" t="s">
        <v>55</v>
      </c>
      <c r="U247" s="16" t="s">
        <v>55</v>
      </c>
      <c r="V247" s="16" t="s">
        <v>127</v>
      </c>
      <c r="W247" s="16"/>
      <c r="X247" s="6"/>
      <c r="Y247" s="6"/>
      <c r="Z247" s="6"/>
    </row>
    <row r="248" ht="15.0" customHeight="1">
      <c r="A248" s="7" t="s">
        <v>1408</v>
      </c>
      <c r="B248" s="7" t="s">
        <v>1409</v>
      </c>
      <c r="C248" s="7" t="s">
        <v>1410</v>
      </c>
      <c r="D248" s="7" t="s">
        <v>210</v>
      </c>
      <c r="E248" s="7" t="s">
        <v>306</v>
      </c>
      <c r="F248" s="7" t="s">
        <v>92</v>
      </c>
      <c r="G248" s="7" t="s">
        <v>57</v>
      </c>
      <c r="H248" s="7" t="s">
        <v>55</v>
      </c>
      <c r="I248" s="7" t="s">
        <v>55</v>
      </c>
      <c r="J248" s="7" t="s">
        <v>55</v>
      </c>
      <c r="K248" s="7"/>
      <c r="L248" s="14" t="str">
        <f t="shared" si="1"/>
        <v>Não</v>
      </c>
      <c r="M248" s="7"/>
      <c r="N248" s="7"/>
      <c r="O248" s="7" t="s">
        <v>55</v>
      </c>
      <c r="P248" s="7"/>
      <c r="Q248" s="16" t="s">
        <v>57</v>
      </c>
      <c r="R248" s="16" t="s">
        <v>55</v>
      </c>
      <c r="S248" s="16" t="s">
        <v>55</v>
      </c>
      <c r="T248" s="16" t="s">
        <v>55</v>
      </c>
      <c r="U248" s="16" t="s">
        <v>57</v>
      </c>
      <c r="V248" s="16" t="s">
        <v>225</v>
      </c>
      <c r="W248" s="16"/>
      <c r="X248" s="6"/>
      <c r="Y248" s="6"/>
      <c r="Z248" s="6"/>
    </row>
    <row r="249" ht="15.0" customHeight="1">
      <c r="A249" s="7" t="s">
        <v>1411</v>
      </c>
      <c r="B249" s="7" t="s">
        <v>1412</v>
      </c>
      <c r="C249" s="7" t="s">
        <v>1413</v>
      </c>
      <c r="D249" s="7" t="s">
        <v>210</v>
      </c>
      <c r="E249" s="7" t="s">
        <v>138</v>
      </c>
      <c r="F249" s="7" t="s">
        <v>92</v>
      </c>
      <c r="G249" s="7" t="s">
        <v>57</v>
      </c>
      <c r="H249" s="7" t="s">
        <v>55</v>
      </c>
      <c r="I249" s="7" t="s">
        <v>55</v>
      </c>
      <c r="J249" s="7" t="s">
        <v>55</v>
      </c>
      <c r="K249" s="7"/>
      <c r="L249" s="14" t="str">
        <f t="shared" si="1"/>
        <v>Não</v>
      </c>
      <c r="M249" s="7"/>
      <c r="N249" s="7"/>
      <c r="O249" s="7" t="s">
        <v>55</v>
      </c>
      <c r="P249" s="7"/>
      <c r="Q249" s="16" t="s">
        <v>57</v>
      </c>
      <c r="R249" s="16" t="s">
        <v>55</v>
      </c>
      <c r="S249" s="16" t="s">
        <v>55</v>
      </c>
      <c r="T249" s="16" t="s">
        <v>55</v>
      </c>
      <c r="U249" s="16" t="s">
        <v>57</v>
      </c>
      <c r="V249" s="16" t="s">
        <v>225</v>
      </c>
      <c r="W249" s="16"/>
      <c r="X249" s="6"/>
      <c r="Y249" s="6"/>
      <c r="Z249" s="6"/>
    </row>
    <row r="250" ht="15.0" customHeight="1">
      <c r="A250" s="7" t="s">
        <v>1414</v>
      </c>
      <c r="B250" s="7" t="s">
        <v>1415</v>
      </c>
      <c r="C250" s="7" t="s">
        <v>1416</v>
      </c>
      <c r="D250" s="7" t="s">
        <v>210</v>
      </c>
      <c r="E250" s="7" t="s">
        <v>306</v>
      </c>
      <c r="F250" s="7" t="s">
        <v>92</v>
      </c>
      <c r="G250" s="7" t="s">
        <v>57</v>
      </c>
      <c r="H250" s="7" t="s">
        <v>55</v>
      </c>
      <c r="I250" s="7" t="s">
        <v>55</v>
      </c>
      <c r="J250" s="7" t="s">
        <v>55</v>
      </c>
      <c r="K250" s="7"/>
      <c r="L250" s="14" t="str">
        <f t="shared" si="1"/>
        <v>Não</v>
      </c>
      <c r="M250" s="7"/>
      <c r="N250" s="7"/>
      <c r="O250" s="7" t="s">
        <v>55</v>
      </c>
      <c r="P250" s="7"/>
      <c r="Q250" s="16" t="s">
        <v>57</v>
      </c>
      <c r="R250" s="16" t="s">
        <v>55</v>
      </c>
      <c r="S250" s="16" t="s">
        <v>55</v>
      </c>
      <c r="T250" s="16" t="s">
        <v>55</v>
      </c>
      <c r="U250" s="16" t="s">
        <v>57</v>
      </c>
      <c r="V250" s="16" t="s">
        <v>225</v>
      </c>
      <c r="W250" s="16"/>
      <c r="X250" s="6"/>
      <c r="Y250" s="6"/>
      <c r="Z250" s="6"/>
    </row>
    <row r="251" ht="15.0" customHeight="1">
      <c r="A251" s="7" t="s">
        <v>1417</v>
      </c>
      <c r="B251" s="7" t="s">
        <v>1418</v>
      </c>
      <c r="C251" s="7" t="s">
        <v>1419</v>
      </c>
      <c r="D251" s="7" t="s">
        <v>210</v>
      </c>
      <c r="E251" s="7" t="s">
        <v>306</v>
      </c>
      <c r="F251" s="7" t="s">
        <v>92</v>
      </c>
      <c r="G251" s="7" t="s">
        <v>57</v>
      </c>
      <c r="H251" s="7" t="s">
        <v>55</v>
      </c>
      <c r="I251" s="7" t="s">
        <v>55</v>
      </c>
      <c r="J251" s="7" t="s">
        <v>55</v>
      </c>
      <c r="K251" s="7"/>
      <c r="L251" s="14" t="str">
        <f t="shared" si="1"/>
        <v>Não</v>
      </c>
      <c r="M251" s="7"/>
      <c r="N251" s="7"/>
      <c r="O251" s="7" t="s">
        <v>55</v>
      </c>
      <c r="P251" s="7"/>
      <c r="Q251" s="16" t="s">
        <v>57</v>
      </c>
      <c r="R251" s="16" t="s">
        <v>55</v>
      </c>
      <c r="S251" s="16" t="s">
        <v>55</v>
      </c>
      <c r="T251" s="16" t="s">
        <v>55</v>
      </c>
      <c r="U251" s="16" t="s">
        <v>57</v>
      </c>
      <c r="V251" s="16" t="s">
        <v>225</v>
      </c>
      <c r="W251" s="16"/>
      <c r="X251" s="6"/>
      <c r="Y251" s="6"/>
      <c r="Z251" s="6"/>
    </row>
    <row r="252" ht="15.0" customHeight="1">
      <c r="A252" s="7" t="s">
        <v>1420</v>
      </c>
      <c r="B252" s="7" t="s">
        <v>1421</v>
      </c>
      <c r="C252" s="7" t="s">
        <v>1422</v>
      </c>
      <c r="D252" s="7" t="s">
        <v>210</v>
      </c>
      <c r="E252" s="7" t="s">
        <v>306</v>
      </c>
      <c r="F252" s="7" t="s">
        <v>92</v>
      </c>
      <c r="G252" s="7" t="s">
        <v>57</v>
      </c>
      <c r="H252" s="7" t="s">
        <v>55</v>
      </c>
      <c r="I252" s="7" t="s">
        <v>55</v>
      </c>
      <c r="J252" s="7" t="s">
        <v>55</v>
      </c>
      <c r="K252" s="7"/>
      <c r="L252" s="14" t="str">
        <f t="shared" si="1"/>
        <v>Não</v>
      </c>
      <c r="M252" s="7"/>
      <c r="N252" s="7"/>
      <c r="O252" s="7" t="s">
        <v>55</v>
      </c>
      <c r="P252" s="7"/>
      <c r="Q252" s="16" t="s">
        <v>57</v>
      </c>
      <c r="R252" s="16" t="s">
        <v>55</v>
      </c>
      <c r="S252" s="16" t="s">
        <v>55</v>
      </c>
      <c r="T252" s="16" t="s">
        <v>55</v>
      </c>
      <c r="U252" s="16" t="s">
        <v>57</v>
      </c>
      <c r="V252" s="16" t="s">
        <v>225</v>
      </c>
      <c r="W252" s="16"/>
      <c r="X252" s="6"/>
      <c r="Y252" s="6"/>
      <c r="Z252" s="6"/>
    </row>
    <row r="253" ht="15.0" customHeight="1">
      <c r="A253" s="7" t="s">
        <v>1423</v>
      </c>
      <c r="B253" s="7" t="s">
        <v>1424</v>
      </c>
      <c r="C253" s="7" t="s">
        <v>1425</v>
      </c>
      <c r="D253" s="7" t="s">
        <v>210</v>
      </c>
      <c r="E253" s="7" t="s">
        <v>306</v>
      </c>
      <c r="F253" s="7" t="s">
        <v>92</v>
      </c>
      <c r="G253" s="7" t="s">
        <v>57</v>
      </c>
      <c r="H253" s="7" t="s">
        <v>55</v>
      </c>
      <c r="I253" s="7" t="s">
        <v>55</v>
      </c>
      <c r="J253" s="7" t="s">
        <v>55</v>
      </c>
      <c r="K253" s="7"/>
      <c r="L253" s="14" t="str">
        <f t="shared" si="1"/>
        <v>Não</v>
      </c>
      <c r="M253" s="7"/>
      <c r="N253" s="7"/>
      <c r="O253" s="7" t="s">
        <v>55</v>
      </c>
      <c r="P253" s="7"/>
      <c r="Q253" s="16" t="s">
        <v>57</v>
      </c>
      <c r="R253" s="16" t="s">
        <v>55</v>
      </c>
      <c r="S253" s="16" t="s">
        <v>55</v>
      </c>
      <c r="T253" s="16" t="s">
        <v>55</v>
      </c>
      <c r="U253" s="16" t="s">
        <v>57</v>
      </c>
      <c r="V253" s="16" t="s">
        <v>225</v>
      </c>
      <c r="W253" s="16"/>
      <c r="X253" s="6"/>
      <c r="Y253" s="6"/>
      <c r="Z253" s="6"/>
    </row>
    <row r="254" ht="15.0" customHeight="1">
      <c r="A254" s="7" t="s">
        <v>1426</v>
      </c>
      <c r="B254" s="7" t="s">
        <v>1427</v>
      </c>
      <c r="C254" s="7" t="s">
        <v>1428</v>
      </c>
      <c r="D254" s="7" t="s">
        <v>210</v>
      </c>
      <c r="E254" s="7" t="s">
        <v>286</v>
      </c>
      <c r="F254" s="7" t="s">
        <v>92</v>
      </c>
      <c r="G254" s="7" t="s">
        <v>57</v>
      </c>
      <c r="H254" s="7" t="s">
        <v>55</v>
      </c>
      <c r="I254" s="7" t="s">
        <v>55</v>
      </c>
      <c r="J254" s="7" t="s">
        <v>55</v>
      </c>
      <c r="K254" s="7"/>
      <c r="L254" s="14" t="str">
        <f t="shared" si="1"/>
        <v>Não</v>
      </c>
      <c r="M254" s="7"/>
      <c r="N254" s="7"/>
      <c r="O254" s="7" t="s">
        <v>55</v>
      </c>
      <c r="P254" s="7"/>
      <c r="Q254" s="16" t="s">
        <v>57</v>
      </c>
      <c r="R254" s="16" t="s">
        <v>55</v>
      </c>
      <c r="S254" s="16" t="s">
        <v>55</v>
      </c>
      <c r="T254" s="16" t="s">
        <v>55</v>
      </c>
      <c r="U254" s="16" t="s">
        <v>57</v>
      </c>
      <c r="V254" s="16" t="s">
        <v>225</v>
      </c>
      <c r="W254" s="16"/>
      <c r="X254" s="6"/>
      <c r="Y254" s="6"/>
      <c r="Z254" s="6"/>
    </row>
    <row r="255" ht="15.0" customHeight="1">
      <c r="A255" s="7" t="s">
        <v>1429</v>
      </c>
      <c r="B255" s="7" t="s">
        <v>1430</v>
      </c>
      <c r="C255" s="7" t="s">
        <v>1431</v>
      </c>
      <c r="D255" s="7" t="s">
        <v>210</v>
      </c>
      <c r="E255" s="7" t="s">
        <v>138</v>
      </c>
      <c r="F255" s="7" t="s">
        <v>92</v>
      </c>
      <c r="G255" s="7" t="s">
        <v>57</v>
      </c>
      <c r="H255" s="7" t="s">
        <v>55</v>
      </c>
      <c r="I255" s="7" t="s">
        <v>55</v>
      </c>
      <c r="J255" s="7" t="s">
        <v>55</v>
      </c>
      <c r="K255" s="7"/>
      <c r="L255" s="14" t="str">
        <f t="shared" si="1"/>
        <v>Não</v>
      </c>
      <c r="M255" s="7"/>
      <c r="N255" s="7"/>
      <c r="O255" s="7" t="s">
        <v>55</v>
      </c>
      <c r="P255" s="7"/>
      <c r="Q255" s="16" t="s">
        <v>57</v>
      </c>
      <c r="R255" s="16" t="s">
        <v>55</v>
      </c>
      <c r="S255" s="16" t="s">
        <v>55</v>
      </c>
      <c r="T255" s="16" t="s">
        <v>55</v>
      </c>
      <c r="U255" s="16" t="s">
        <v>57</v>
      </c>
      <c r="V255" s="16" t="s">
        <v>621</v>
      </c>
      <c r="W255" s="16"/>
      <c r="X255" s="6"/>
      <c r="Y255" s="6"/>
      <c r="Z255" s="6"/>
    </row>
    <row r="256" ht="15.0" customHeight="1">
      <c r="A256" s="7" t="s">
        <v>1435</v>
      </c>
      <c r="B256" s="7" t="s">
        <v>1436</v>
      </c>
      <c r="C256" s="7" t="s">
        <v>1437</v>
      </c>
      <c r="D256" s="7" t="s">
        <v>210</v>
      </c>
      <c r="E256" s="7" t="s">
        <v>286</v>
      </c>
      <c r="F256" s="7" t="s">
        <v>92</v>
      </c>
      <c r="G256" s="7" t="s">
        <v>57</v>
      </c>
      <c r="H256" s="7" t="s">
        <v>55</v>
      </c>
      <c r="I256" s="7" t="s">
        <v>55</v>
      </c>
      <c r="J256" s="7" t="s">
        <v>55</v>
      </c>
      <c r="K256" s="7"/>
      <c r="L256" s="14" t="str">
        <f t="shared" si="1"/>
        <v>Não</v>
      </c>
      <c r="M256" s="7"/>
      <c r="N256" s="7"/>
      <c r="O256" s="7" t="s">
        <v>55</v>
      </c>
      <c r="P256" s="7"/>
      <c r="Q256" s="16" t="s">
        <v>57</v>
      </c>
      <c r="R256" s="16" t="s">
        <v>55</v>
      </c>
      <c r="S256" s="16" t="s">
        <v>55</v>
      </c>
      <c r="T256" s="16" t="s">
        <v>55</v>
      </c>
      <c r="U256" s="16" t="s">
        <v>57</v>
      </c>
      <c r="V256" s="16" t="s">
        <v>1440</v>
      </c>
      <c r="W256" s="16"/>
      <c r="X256" s="6"/>
      <c r="Y256" s="6"/>
      <c r="Z256" s="6"/>
    </row>
    <row r="257" ht="15.0" customHeight="1">
      <c r="A257" s="7" t="s">
        <v>1441</v>
      </c>
      <c r="B257" s="7" t="s">
        <v>1442</v>
      </c>
      <c r="C257" s="7" t="s">
        <v>1443</v>
      </c>
      <c r="D257" s="7" t="s">
        <v>210</v>
      </c>
      <c r="E257" s="7" t="s">
        <v>286</v>
      </c>
      <c r="F257" s="7" t="s">
        <v>92</v>
      </c>
      <c r="G257" s="7" t="s">
        <v>57</v>
      </c>
      <c r="H257" s="7" t="s">
        <v>55</v>
      </c>
      <c r="I257" s="7" t="s">
        <v>55</v>
      </c>
      <c r="J257" s="7" t="s">
        <v>55</v>
      </c>
      <c r="K257" s="7"/>
      <c r="L257" s="14" t="str">
        <f t="shared" si="1"/>
        <v>Não</v>
      </c>
      <c r="M257" s="7"/>
      <c r="N257" s="7"/>
      <c r="O257" s="7" t="s">
        <v>55</v>
      </c>
      <c r="P257" s="7"/>
      <c r="Q257" s="16" t="s">
        <v>57</v>
      </c>
      <c r="R257" s="16" t="s">
        <v>55</v>
      </c>
      <c r="S257" s="16" t="s">
        <v>55</v>
      </c>
      <c r="T257" s="16" t="s">
        <v>55</v>
      </c>
      <c r="U257" s="16" t="s">
        <v>57</v>
      </c>
      <c r="V257" s="16" t="s">
        <v>225</v>
      </c>
      <c r="W257" s="16"/>
      <c r="X257" s="6"/>
      <c r="Y257" s="6"/>
      <c r="Z257" s="6"/>
    </row>
    <row r="258" ht="15.0" customHeight="1">
      <c r="A258" s="7" t="s">
        <v>1444</v>
      </c>
      <c r="B258" s="7" t="s">
        <v>1445</v>
      </c>
      <c r="C258" s="7" t="s">
        <v>1446</v>
      </c>
      <c r="D258" s="7" t="s">
        <v>210</v>
      </c>
      <c r="E258" s="7" t="s">
        <v>300</v>
      </c>
      <c r="F258" s="7" t="s">
        <v>92</v>
      </c>
      <c r="G258" s="7" t="s">
        <v>57</v>
      </c>
      <c r="H258" s="7" t="s">
        <v>55</v>
      </c>
      <c r="I258" s="7" t="s">
        <v>55</v>
      </c>
      <c r="J258" s="7" t="s">
        <v>55</v>
      </c>
      <c r="K258" s="7"/>
      <c r="L258" s="14" t="str">
        <f t="shared" si="1"/>
        <v>Não</v>
      </c>
      <c r="M258" s="7"/>
      <c r="N258" s="7"/>
      <c r="O258" s="7" t="s">
        <v>55</v>
      </c>
      <c r="P258" s="7"/>
      <c r="Q258" s="16" t="s">
        <v>57</v>
      </c>
      <c r="R258" s="16" t="s">
        <v>55</v>
      </c>
      <c r="S258" s="16" t="s">
        <v>55</v>
      </c>
      <c r="T258" s="16" t="s">
        <v>55</v>
      </c>
      <c r="U258" s="16" t="s">
        <v>57</v>
      </c>
      <c r="V258" s="16" t="s">
        <v>225</v>
      </c>
      <c r="W258" s="16"/>
      <c r="X258" s="6"/>
      <c r="Y258" s="6"/>
      <c r="Z258" s="6"/>
    </row>
    <row r="259" ht="15.0" customHeight="1">
      <c r="A259" s="7" t="s">
        <v>1449</v>
      </c>
      <c r="B259" s="7" t="s">
        <v>1450</v>
      </c>
      <c r="C259" s="7" t="s">
        <v>1451</v>
      </c>
      <c r="D259" s="7" t="s">
        <v>210</v>
      </c>
      <c r="E259" s="7" t="s">
        <v>291</v>
      </c>
      <c r="F259" s="7" t="s">
        <v>92</v>
      </c>
      <c r="G259" s="7" t="s">
        <v>55</v>
      </c>
      <c r="H259" s="7" t="s">
        <v>55</v>
      </c>
      <c r="I259" s="7" t="s">
        <v>55</v>
      </c>
      <c r="J259" s="7" t="s">
        <v>55</v>
      </c>
      <c r="K259" s="11" t="s">
        <v>1452</v>
      </c>
      <c r="L259" s="14" t="str">
        <f t="shared" si="1"/>
        <v>Não</v>
      </c>
      <c r="M259" s="7"/>
      <c r="N259" s="7"/>
      <c r="O259" s="7" t="s">
        <v>55</v>
      </c>
      <c r="P259" s="7"/>
      <c r="Q259" s="16" t="s">
        <v>55</v>
      </c>
      <c r="R259" s="16" t="s">
        <v>55</v>
      </c>
      <c r="S259" s="16" t="s">
        <v>55</v>
      </c>
      <c r="T259" s="16" t="s">
        <v>55</v>
      </c>
      <c r="U259" s="16" t="s">
        <v>55</v>
      </c>
      <c r="V259" s="16" t="s">
        <v>127</v>
      </c>
      <c r="W259" s="16" t="s">
        <v>1453</v>
      </c>
      <c r="X259" s="6"/>
      <c r="Y259" s="6"/>
      <c r="Z259" s="6"/>
    </row>
    <row r="260" ht="15.0" customHeight="1">
      <c r="A260" s="7" t="s">
        <v>1454</v>
      </c>
      <c r="B260" s="7" t="s">
        <v>1455</v>
      </c>
      <c r="C260" s="7" t="s">
        <v>1456</v>
      </c>
      <c r="D260" s="7" t="s">
        <v>210</v>
      </c>
      <c r="E260" s="7" t="s">
        <v>286</v>
      </c>
      <c r="F260" s="7" t="s">
        <v>92</v>
      </c>
      <c r="G260" s="7" t="s">
        <v>57</v>
      </c>
      <c r="H260" s="7" t="s">
        <v>55</v>
      </c>
      <c r="I260" s="7" t="s">
        <v>55</v>
      </c>
      <c r="J260" s="7" t="s">
        <v>55</v>
      </c>
      <c r="K260" s="7"/>
      <c r="L260" s="14" t="str">
        <f t="shared" si="1"/>
        <v>Não</v>
      </c>
      <c r="M260" s="7"/>
      <c r="N260" s="7"/>
      <c r="O260" s="7" t="s">
        <v>55</v>
      </c>
      <c r="P260" s="7"/>
      <c r="Q260" s="16" t="s">
        <v>57</v>
      </c>
      <c r="R260" s="16" t="s">
        <v>55</v>
      </c>
      <c r="S260" s="16" t="s">
        <v>55</v>
      </c>
      <c r="T260" s="16" t="s">
        <v>55</v>
      </c>
      <c r="U260" s="16" t="s">
        <v>57</v>
      </c>
      <c r="V260" s="16" t="s">
        <v>225</v>
      </c>
      <c r="W260" s="16"/>
      <c r="X260" s="6"/>
      <c r="Y260" s="6"/>
      <c r="Z260" s="6"/>
    </row>
    <row r="261" ht="15.0" customHeight="1">
      <c r="A261" s="7" t="s">
        <v>1457</v>
      </c>
      <c r="B261" s="7" t="s">
        <v>1458</v>
      </c>
      <c r="C261" s="7" t="s">
        <v>1459</v>
      </c>
      <c r="D261" s="7" t="s">
        <v>210</v>
      </c>
      <c r="E261" s="7" t="s">
        <v>286</v>
      </c>
      <c r="F261" s="7" t="s">
        <v>92</v>
      </c>
      <c r="G261" s="7" t="s">
        <v>57</v>
      </c>
      <c r="H261" s="7" t="s">
        <v>55</v>
      </c>
      <c r="I261" s="7" t="s">
        <v>55</v>
      </c>
      <c r="J261" s="7" t="s">
        <v>55</v>
      </c>
      <c r="K261" s="7"/>
      <c r="L261" s="14" t="str">
        <f t="shared" si="1"/>
        <v>Não</v>
      </c>
      <c r="M261" s="7"/>
      <c r="N261" s="7"/>
      <c r="O261" s="7" t="s">
        <v>55</v>
      </c>
      <c r="P261" s="7"/>
      <c r="Q261" s="16" t="s">
        <v>57</v>
      </c>
      <c r="R261" s="16" t="s">
        <v>55</v>
      </c>
      <c r="S261" s="16" t="s">
        <v>55</v>
      </c>
      <c r="T261" s="16" t="s">
        <v>55</v>
      </c>
      <c r="U261" s="16" t="s">
        <v>57</v>
      </c>
      <c r="V261" s="16" t="s">
        <v>225</v>
      </c>
      <c r="W261" s="16"/>
      <c r="X261" s="6"/>
      <c r="Y261" s="6"/>
      <c r="Z261" s="6"/>
    </row>
    <row r="262" ht="15.0" customHeight="1">
      <c r="A262" s="7" t="s">
        <v>1460</v>
      </c>
      <c r="B262" s="7" t="s">
        <v>1461</v>
      </c>
      <c r="C262" s="7" t="s">
        <v>1462</v>
      </c>
      <c r="D262" s="7" t="s">
        <v>210</v>
      </c>
      <c r="E262" s="7" t="s">
        <v>286</v>
      </c>
      <c r="F262" s="7" t="s">
        <v>92</v>
      </c>
      <c r="G262" s="7" t="s">
        <v>57</v>
      </c>
      <c r="H262" s="7" t="s">
        <v>55</v>
      </c>
      <c r="I262" s="7" t="s">
        <v>55</v>
      </c>
      <c r="J262" s="7" t="s">
        <v>55</v>
      </c>
      <c r="K262" s="7"/>
      <c r="L262" s="14" t="str">
        <f t="shared" si="1"/>
        <v>Não</v>
      </c>
      <c r="M262" s="7"/>
      <c r="N262" s="7"/>
      <c r="O262" s="7" t="s">
        <v>55</v>
      </c>
      <c r="P262" s="7"/>
      <c r="Q262" s="16" t="s">
        <v>57</v>
      </c>
      <c r="R262" s="16" t="s">
        <v>55</v>
      </c>
      <c r="S262" s="16" t="s">
        <v>55</v>
      </c>
      <c r="T262" s="16" t="s">
        <v>55</v>
      </c>
      <c r="U262" s="16" t="s">
        <v>57</v>
      </c>
      <c r="V262" s="16" t="s">
        <v>225</v>
      </c>
      <c r="W262" s="16"/>
      <c r="X262" s="6"/>
      <c r="Y262" s="6"/>
      <c r="Z262" s="6"/>
    </row>
    <row r="263" ht="15.0" customHeight="1">
      <c r="A263" s="7" t="s">
        <v>1463</v>
      </c>
      <c r="B263" s="7" t="s">
        <v>1464</v>
      </c>
      <c r="C263" s="7" t="s">
        <v>1465</v>
      </c>
      <c r="D263" s="7" t="s">
        <v>210</v>
      </c>
      <c r="E263" s="7" t="s">
        <v>286</v>
      </c>
      <c r="F263" s="7" t="s">
        <v>92</v>
      </c>
      <c r="G263" s="7" t="s">
        <v>55</v>
      </c>
      <c r="H263" s="7" t="s">
        <v>57</v>
      </c>
      <c r="I263" s="7" t="s">
        <v>57</v>
      </c>
      <c r="J263" s="7" t="s">
        <v>55</v>
      </c>
      <c r="K263" s="7"/>
      <c r="L263" s="14" t="str">
        <f t="shared" si="1"/>
        <v>Não</v>
      </c>
      <c r="M263" s="7"/>
      <c r="N263" s="7"/>
      <c r="O263" s="7" t="s">
        <v>55</v>
      </c>
      <c r="P263" s="7"/>
      <c r="Q263" s="16" t="s">
        <v>55</v>
      </c>
      <c r="R263" s="16" t="s">
        <v>57</v>
      </c>
      <c r="S263" s="16" t="s">
        <v>57</v>
      </c>
      <c r="T263" s="16" t="s">
        <v>55</v>
      </c>
      <c r="U263" s="16" t="s">
        <v>57</v>
      </c>
      <c r="V263" s="16" t="s">
        <v>99</v>
      </c>
      <c r="W263" s="16"/>
      <c r="X263" s="6"/>
      <c r="Y263" s="6"/>
      <c r="Z263" s="6"/>
    </row>
    <row r="264" ht="15.0" customHeight="1">
      <c r="A264" s="7" t="s">
        <v>1466</v>
      </c>
      <c r="B264" s="7" t="s">
        <v>1467</v>
      </c>
      <c r="C264" s="7" t="s">
        <v>1468</v>
      </c>
      <c r="D264" s="7" t="s">
        <v>210</v>
      </c>
      <c r="E264" s="7" t="s">
        <v>286</v>
      </c>
      <c r="F264" s="7" t="s">
        <v>92</v>
      </c>
      <c r="G264" s="7" t="s">
        <v>57</v>
      </c>
      <c r="H264" s="7" t="s">
        <v>55</v>
      </c>
      <c r="I264" s="7" t="s">
        <v>55</v>
      </c>
      <c r="J264" s="7" t="s">
        <v>55</v>
      </c>
      <c r="K264" s="7"/>
      <c r="L264" s="14" t="str">
        <f t="shared" si="1"/>
        <v>Não</v>
      </c>
      <c r="M264" s="7"/>
      <c r="N264" s="7"/>
      <c r="O264" s="7" t="s">
        <v>55</v>
      </c>
      <c r="P264" s="7"/>
      <c r="Q264" s="16" t="s">
        <v>57</v>
      </c>
      <c r="R264" s="16" t="s">
        <v>55</v>
      </c>
      <c r="S264" s="16" t="s">
        <v>55</v>
      </c>
      <c r="T264" s="16" t="s">
        <v>55</v>
      </c>
      <c r="U264" s="16" t="s">
        <v>57</v>
      </c>
      <c r="V264" s="16" t="s">
        <v>1440</v>
      </c>
      <c r="W264" s="16"/>
      <c r="X264" s="6"/>
      <c r="Y264" s="6"/>
      <c r="Z264" s="6"/>
    </row>
    <row r="265" ht="15.0" customHeight="1">
      <c r="A265" s="7" t="s">
        <v>1469</v>
      </c>
      <c r="B265" s="7" t="s">
        <v>1470</v>
      </c>
      <c r="C265" s="7" t="s">
        <v>1471</v>
      </c>
      <c r="D265" s="7" t="s">
        <v>210</v>
      </c>
      <c r="E265" s="7" t="s">
        <v>286</v>
      </c>
      <c r="F265" s="7" t="s">
        <v>92</v>
      </c>
      <c r="G265" s="7" t="s">
        <v>57</v>
      </c>
      <c r="H265" s="7" t="s">
        <v>55</v>
      </c>
      <c r="I265" s="7" t="s">
        <v>55</v>
      </c>
      <c r="J265" s="7" t="s">
        <v>55</v>
      </c>
      <c r="K265" s="7"/>
      <c r="L265" s="14" t="str">
        <f t="shared" si="1"/>
        <v>Não</v>
      </c>
      <c r="M265" s="7"/>
      <c r="N265" s="7"/>
      <c r="O265" s="7" t="s">
        <v>55</v>
      </c>
      <c r="P265" s="7"/>
      <c r="Q265" s="16" t="s">
        <v>57</v>
      </c>
      <c r="R265" s="16" t="s">
        <v>55</v>
      </c>
      <c r="S265" s="16" t="s">
        <v>55</v>
      </c>
      <c r="T265" s="16" t="s">
        <v>55</v>
      </c>
      <c r="U265" s="16" t="s">
        <v>57</v>
      </c>
      <c r="V265" s="16" t="s">
        <v>225</v>
      </c>
      <c r="W265" s="16"/>
      <c r="X265" s="6"/>
      <c r="Y265" s="6"/>
      <c r="Z265" s="6"/>
    </row>
    <row r="266" ht="15.0" customHeight="1">
      <c r="A266" s="7" t="s">
        <v>1473</v>
      </c>
      <c r="B266" s="7" t="s">
        <v>1475</v>
      </c>
      <c r="C266" s="7" t="s">
        <v>1476</v>
      </c>
      <c r="D266" s="7" t="s">
        <v>210</v>
      </c>
      <c r="E266" s="7" t="s">
        <v>286</v>
      </c>
      <c r="F266" s="7" t="s">
        <v>92</v>
      </c>
      <c r="G266" s="7" t="s">
        <v>57</v>
      </c>
      <c r="H266" s="7" t="s">
        <v>55</v>
      </c>
      <c r="I266" s="7" t="s">
        <v>55</v>
      </c>
      <c r="J266" s="7" t="s">
        <v>55</v>
      </c>
      <c r="K266" s="7"/>
      <c r="L266" s="14" t="str">
        <f t="shared" si="1"/>
        <v>Não</v>
      </c>
      <c r="M266" s="7"/>
      <c r="N266" s="7"/>
      <c r="O266" s="7" t="s">
        <v>55</v>
      </c>
      <c r="P266" s="7"/>
      <c r="Q266" s="16" t="s">
        <v>57</v>
      </c>
      <c r="R266" s="16" t="s">
        <v>55</v>
      </c>
      <c r="S266" s="16" t="s">
        <v>55</v>
      </c>
      <c r="T266" s="16" t="s">
        <v>55</v>
      </c>
      <c r="U266" s="16" t="s">
        <v>57</v>
      </c>
      <c r="V266" s="16" t="s">
        <v>1440</v>
      </c>
      <c r="W266" s="16"/>
      <c r="X266" s="6"/>
      <c r="Y266" s="6"/>
      <c r="Z266" s="6"/>
    </row>
    <row r="267" ht="15.0" customHeight="1">
      <c r="A267" s="7" t="s">
        <v>1480</v>
      </c>
      <c r="B267" s="7" t="s">
        <v>1481</v>
      </c>
      <c r="C267" s="7" t="s">
        <v>1482</v>
      </c>
      <c r="D267" s="7" t="s">
        <v>210</v>
      </c>
      <c r="E267" s="7" t="s">
        <v>306</v>
      </c>
      <c r="F267" s="7" t="s">
        <v>92</v>
      </c>
      <c r="G267" s="7" t="s">
        <v>55</v>
      </c>
      <c r="H267" s="7" t="s">
        <v>55</v>
      </c>
      <c r="I267" s="7" t="s">
        <v>55</v>
      </c>
      <c r="J267" s="7" t="s">
        <v>55</v>
      </c>
      <c r="K267" s="11" t="s">
        <v>1483</v>
      </c>
      <c r="L267" s="14" t="str">
        <f t="shared" si="1"/>
        <v>Não</v>
      </c>
      <c r="M267" s="7"/>
      <c r="N267" s="7"/>
      <c r="O267" s="7" t="s">
        <v>55</v>
      </c>
      <c r="P267" s="7"/>
      <c r="Q267" s="16" t="s">
        <v>55</v>
      </c>
      <c r="R267" s="16" t="s">
        <v>55</v>
      </c>
      <c r="S267" s="16" t="s">
        <v>55</v>
      </c>
      <c r="T267" s="16" t="s">
        <v>55</v>
      </c>
      <c r="U267" s="16" t="s">
        <v>55</v>
      </c>
      <c r="V267" s="16" t="s">
        <v>127</v>
      </c>
      <c r="W267" s="16" t="s">
        <v>1484</v>
      </c>
      <c r="X267" s="6"/>
      <c r="Y267" s="6"/>
      <c r="Z267" s="6"/>
    </row>
    <row r="268" ht="15.0" customHeight="1">
      <c r="A268" s="7" t="s">
        <v>1485</v>
      </c>
      <c r="B268" s="7" t="s">
        <v>1486</v>
      </c>
      <c r="C268" s="7" t="s">
        <v>1487</v>
      </c>
      <c r="D268" s="7" t="s">
        <v>210</v>
      </c>
      <c r="E268" s="7" t="s">
        <v>48</v>
      </c>
      <c r="F268" s="7" t="s">
        <v>92</v>
      </c>
      <c r="G268" s="7" t="s">
        <v>55</v>
      </c>
      <c r="H268" s="7" t="s">
        <v>55</v>
      </c>
      <c r="I268" s="7" t="s">
        <v>55</v>
      </c>
      <c r="J268" s="7" t="s">
        <v>55</v>
      </c>
      <c r="K268" s="11" t="s">
        <v>1488</v>
      </c>
      <c r="L268" s="14" t="str">
        <f t="shared" si="1"/>
        <v>Não</v>
      </c>
      <c r="M268" s="7"/>
      <c r="N268" s="7"/>
      <c r="O268" s="7" t="s">
        <v>55</v>
      </c>
      <c r="P268" s="7"/>
      <c r="Q268" s="16" t="s">
        <v>55</v>
      </c>
      <c r="R268" s="16" t="s">
        <v>55</v>
      </c>
      <c r="S268" s="16" t="s">
        <v>55</v>
      </c>
      <c r="T268" s="16" t="s">
        <v>55</v>
      </c>
      <c r="U268" s="16" t="s">
        <v>55</v>
      </c>
      <c r="V268" s="16" t="s">
        <v>127</v>
      </c>
      <c r="W268" s="16" t="s">
        <v>1489</v>
      </c>
      <c r="X268" s="6"/>
      <c r="Y268" s="6"/>
      <c r="Z268" s="6"/>
    </row>
    <row r="269" ht="15.0" customHeight="1">
      <c r="A269" s="7" t="s">
        <v>1490</v>
      </c>
      <c r="B269" s="7" t="s">
        <v>1491</v>
      </c>
      <c r="C269" s="7" t="s">
        <v>1493</v>
      </c>
      <c r="D269" s="7" t="s">
        <v>210</v>
      </c>
      <c r="E269" s="7" t="s">
        <v>286</v>
      </c>
      <c r="F269" s="7" t="s">
        <v>92</v>
      </c>
      <c r="G269" s="7" t="s">
        <v>57</v>
      </c>
      <c r="H269" s="7" t="s">
        <v>55</v>
      </c>
      <c r="I269" s="7" t="s">
        <v>55</v>
      </c>
      <c r="J269" s="7" t="s">
        <v>55</v>
      </c>
      <c r="K269" s="7"/>
      <c r="L269" s="14" t="str">
        <f t="shared" si="1"/>
        <v>Não</v>
      </c>
      <c r="M269" s="7"/>
      <c r="N269" s="7"/>
      <c r="O269" s="7" t="s">
        <v>55</v>
      </c>
      <c r="P269" s="7"/>
      <c r="Q269" s="16" t="s">
        <v>57</v>
      </c>
      <c r="R269" s="16" t="s">
        <v>55</v>
      </c>
      <c r="S269" s="16" t="s">
        <v>55</v>
      </c>
      <c r="T269" s="16" t="s">
        <v>55</v>
      </c>
      <c r="U269" s="16" t="s">
        <v>57</v>
      </c>
      <c r="V269" s="16" t="s">
        <v>1440</v>
      </c>
      <c r="W269" s="16"/>
      <c r="X269" s="6"/>
      <c r="Y269" s="6"/>
      <c r="Z269" s="6"/>
    </row>
    <row r="270" ht="15.0" customHeight="1">
      <c r="A270" s="7" t="s">
        <v>1494</v>
      </c>
      <c r="B270" s="7" t="s">
        <v>1495</v>
      </c>
      <c r="C270" s="7" t="s">
        <v>1496</v>
      </c>
      <c r="D270" s="7" t="s">
        <v>210</v>
      </c>
      <c r="E270" s="7" t="s">
        <v>194</v>
      </c>
      <c r="F270" s="7" t="s">
        <v>92</v>
      </c>
      <c r="G270" s="7" t="s">
        <v>55</v>
      </c>
      <c r="H270" s="7" t="s">
        <v>57</v>
      </c>
      <c r="I270" s="7" t="s">
        <v>57</v>
      </c>
      <c r="J270" s="7" t="s">
        <v>55</v>
      </c>
      <c r="K270" s="7"/>
      <c r="L270" s="14" t="str">
        <f t="shared" si="1"/>
        <v>Não</v>
      </c>
      <c r="M270" s="7"/>
      <c r="N270" s="7"/>
      <c r="O270" s="7" t="s">
        <v>55</v>
      </c>
      <c r="P270" s="7"/>
      <c r="Q270" s="16" t="s">
        <v>55</v>
      </c>
      <c r="R270" s="16" t="s">
        <v>57</v>
      </c>
      <c r="S270" s="16" t="s">
        <v>57</v>
      </c>
      <c r="T270" s="16" t="s">
        <v>55</v>
      </c>
      <c r="U270" s="16" t="s">
        <v>57</v>
      </c>
      <c r="V270" s="16" t="s">
        <v>99</v>
      </c>
      <c r="W270" s="16"/>
      <c r="X270" s="6"/>
      <c r="Y270" s="6"/>
      <c r="Z270" s="6"/>
    </row>
    <row r="271" ht="15.0" customHeight="1">
      <c r="A271" s="7" t="s">
        <v>1497</v>
      </c>
      <c r="B271" s="7" t="s">
        <v>1498</v>
      </c>
      <c r="C271" s="7" t="s">
        <v>1499</v>
      </c>
      <c r="D271" s="7" t="s">
        <v>210</v>
      </c>
      <c r="E271" s="7" t="s">
        <v>194</v>
      </c>
      <c r="F271" s="7" t="s">
        <v>92</v>
      </c>
      <c r="G271" s="7" t="s">
        <v>55</v>
      </c>
      <c r="H271" s="7" t="s">
        <v>55</v>
      </c>
      <c r="I271" s="7" t="s">
        <v>55</v>
      </c>
      <c r="J271" s="7" t="s">
        <v>55</v>
      </c>
      <c r="K271" s="7"/>
      <c r="L271" s="14" t="str">
        <f t="shared" si="1"/>
        <v>Sim</v>
      </c>
      <c r="M271" s="7"/>
      <c r="N271" s="7"/>
      <c r="O271" s="7" t="s">
        <v>55</v>
      </c>
      <c r="P271" s="7"/>
      <c r="Q271" s="16" t="s">
        <v>55</v>
      </c>
      <c r="R271" s="16" t="s">
        <v>55</v>
      </c>
      <c r="S271" s="16" t="s">
        <v>55</v>
      </c>
      <c r="T271" s="16" t="s">
        <v>55</v>
      </c>
      <c r="U271" s="16" t="s">
        <v>55</v>
      </c>
      <c r="V271" s="16" t="s">
        <v>127</v>
      </c>
      <c r="W271" s="16"/>
      <c r="X271" s="6"/>
      <c r="Y271" s="6"/>
      <c r="Z271" s="6"/>
    </row>
    <row r="272" ht="15.0" customHeight="1">
      <c r="A272" s="7" t="s">
        <v>1500</v>
      </c>
      <c r="B272" s="7" t="s">
        <v>1501</v>
      </c>
      <c r="C272" s="7" t="s">
        <v>1502</v>
      </c>
      <c r="D272" s="7" t="s">
        <v>210</v>
      </c>
      <c r="E272" s="7" t="s">
        <v>138</v>
      </c>
      <c r="F272" s="7" t="s">
        <v>92</v>
      </c>
      <c r="G272" s="7" t="s">
        <v>55</v>
      </c>
      <c r="H272" s="7" t="s">
        <v>55</v>
      </c>
      <c r="I272" s="7" t="s">
        <v>55</v>
      </c>
      <c r="J272" s="7" t="s">
        <v>55</v>
      </c>
      <c r="K272" s="11" t="s">
        <v>1503</v>
      </c>
      <c r="L272" s="14" t="str">
        <f t="shared" si="1"/>
        <v>Não</v>
      </c>
      <c r="M272" s="7"/>
      <c r="N272" s="7"/>
      <c r="O272" s="7" t="s">
        <v>55</v>
      </c>
      <c r="P272" s="7"/>
      <c r="Q272" s="16" t="s">
        <v>55</v>
      </c>
      <c r="R272" s="16" t="s">
        <v>55</v>
      </c>
      <c r="S272" s="16" t="s">
        <v>55</v>
      </c>
      <c r="T272" s="16" t="s">
        <v>55</v>
      </c>
      <c r="U272" s="16" t="s">
        <v>55</v>
      </c>
      <c r="V272" s="16" t="s">
        <v>127</v>
      </c>
      <c r="W272" s="16" t="s">
        <v>1504</v>
      </c>
      <c r="X272" s="6"/>
      <c r="Y272" s="6"/>
      <c r="Z272" s="6"/>
    </row>
    <row r="273" ht="15.0" customHeight="1">
      <c r="A273" s="7" t="s">
        <v>1505</v>
      </c>
      <c r="B273" s="7" t="s">
        <v>1506</v>
      </c>
      <c r="C273" s="7" t="s">
        <v>1507</v>
      </c>
      <c r="D273" s="7" t="s">
        <v>210</v>
      </c>
      <c r="E273" s="7" t="s">
        <v>85</v>
      </c>
      <c r="F273" s="7" t="s">
        <v>92</v>
      </c>
      <c r="G273" s="7" t="s">
        <v>55</v>
      </c>
      <c r="H273" s="7" t="s">
        <v>55</v>
      </c>
      <c r="I273" s="7" t="s">
        <v>55</v>
      </c>
      <c r="J273" s="7" t="s">
        <v>55</v>
      </c>
      <c r="K273" s="7"/>
      <c r="L273" s="14" t="str">
        <f t="shared" si="1"/>
        <v>Sim</v>
      </c>
      <c r="M273" s="7"/>
      <c r="N273" s="7"/>
      <c r="O273" s="7" t="s">
        <v>55</v>
      </c>
      <c r="P273" s="7"/>
      <c r="Q273" s="16" t="s">
        <v>55</v>
      </c>
      <c r="R273" s="16" t="s">
        <v>55</v>
      </c>
      <c r="S273" s="16" t="s">
        <v>55</v>
      </c>
      <c r="T273" s="16" t="s">
        <v>55</v>
      </c>
      <c r="U273" s="16" t="s">
        <v>55</v>
      </c>
      <c r="V273" s="16" t="s">
        <v>127</v>
      </c>
      <c r="W273" s="16"/>
      <c r="X273" s="6"/>
      <c r="Y273" s="6"/>
      <c r="Z273" s="6"/>
    </row>
    <row r="274" ht="15.0" customHeight="1">
      <c r="A274" s="7" t="s">
        <v>1508</v>
      </c>
      <c r="B274" s="7" t="s">
        <v>1509</v>
      </c>
      <c r="C274" s="7" t="s">
        <v>1510</v>
      </c>
      <c r="D274" s="7" t="s">
        <v>210</v>
      </c>
      <c r="E274" s="7" t="s">
        <v>85</v>
      </c>
      <c r="F274" s="7" t="s">
        <v>92</v>
      </c>
      <c r="G274" s="7" t="s">
        <v>55</v>
      </c>
      <c r="H274" s="7" t="s">
        <v>55</v>
      </c>
      <c r="I274" s="7" t="s">
        <v>55</v>
      </c>
      <c r="J274" s="7" t="s">
        <v>55</v>
      </c>
      <c r="K274" s="7"/>
      <c r="L274" s="14" t="str">
        <f t="shared" si="1"/>
        <v>Sim</v>
      </c>
      <c r="M274" s="7"/>
      <c r="N274" s="7"/>
      <c r="O274" s="7" t="s">
        <v>55</v>
      </c>
      <c r="P274" s="7"/>
      <c r="Q274" s="16" t="s">
        <v>55</v>
      </c>
      <c r="R274" s="16" t="s">
        <v>55</v>
      </c>
      <c r="S274" s="16" t="s">
        <v>55</v>
      </c>
      <c r="T274" s="16" t="s">
        <v>55</v>
      </c>
      <c r="U274" s="16" t="s">
        <v>55</v>
      </c>
      <c r="V274" s="16" t="s">
        <v>127</v>
      </c>
      <c r="W274" s="16"/>
      <c r="X274" s="6"/>
      <c r="Y274" s="6"/>
      <c r="Z274" s="6"/>
    </row>
    <row r="275" ht="15.0" customHeight="1">
      <c r="A275" s="7" t="s">
        <v>1511</v>
      </c>
      <c r="B275" s="7" t="s">
        <v>1512</v>
      </c>
      <c r="C275" s="7" t="s">
        <v>1513</v>
      </c>
      <c r="D275" s="7" t="s">
        <v>210</v>
      </c>
      <c r="E275" s="7" t="s">
        <v>85</v>
      </c>
      <c r="F275" s="7" t="s">
        <v>92</v>
      </c>
      <c r="G275" s="7" t="s">
        <v>55</v>
      </c>
      <c r="H275" s="7" t="s">
        <v>55</v>
      </c>
      <c r="I275" s="7" t="s">
        <v>55</v>
      </c>
      <c r="J275" s="7" t="s">
        <v>55</v>
      </c>
      <c r="K275" s="7"/>
      <c r="L275" s="14" t="str">
        <f t="shared" si="1"/>
        <v>Sim</v>
      </c>
      <c r="M275" s="7"/>
      <c r="N275" s="7"/>
      <c r="O275" s="7" t="s">
        <v>55</v>
      </c>
      <c r="P275" s="7"/>
      <c r="Q275" s="16" t="s">
        <v>55</v>
      </c>
      <c r="R275" s="16" t="s">
        <v>55</v>
      </c>
      <c r="S275" s="16" t="s">
        <v>55</v>
      </c>
      <c r="T275" s="16" t="s">
        <v>55</v>
      </c>
      <c r="U275" s="16" t="s">
        <v>55</v>
      </c>
      <c r="V275" s="16" t="s">
        <v>127</v>
      </c>
      <c r="W275" s="16"/>
      <c r="X275" s="6"/>
      <c r="Y275" s="6"/>
      <c r="Z275" s="6"/>
    </row>
    <row r="276" ht="15.0" customHeight="1">
      <c r="A276" s="7" t="s">
        <v>1514</v>
      </c>
      <c r="B276" s="7" t="s">
        <v>1515</v>
      </c>
      <c r="C276" s="7" t="s">
        <v>1516</v>
      </c>
      <c r="D276" s="7" t="s">
        <v>210</v>
      </c>
      <c r="E276" s="7" t="s">
        <v>194</v>
      </c>
      <c r="F276" s="7" t="s">
        <v>92</v>
      </c>
      <c r="G276" s="7" t="s">
        <v>55</v>
      </c>
      <c r="H276" s="7" t="s">
        <v>55</v>
      </c>
      <c r="I276" s="7" t="s">
        <v>55</v>
      </c>
      <c r="J276" s="7" t="s">
        <v>55</v>
      </c>
      <c r="K276" s="7"/>
      <c r="L276" s="14" t="str">
        <f t="shared" si="1"/>
        <v>Sim</v>
      </c>
      <c r="M276" s="7"/>
      <c r="N276" s="7"/>
      <c r="O276" s="7" t="s">
        <v>55</v>
      </c>
      <c r="P276" s="7"/>
      <c r="Q276" s="16" t="s">
        <v>55</v>
      </c>
      <c r="R276" s="16" t="s">
        <v>55</v>
      </c>
      <c r="S276" s="16" t="s">
        <v>55</v>
      </c>
      <c r="T276" s="16" t="s">
        <v>55</v>
      </c>
      <c r="U276" s="16" t="s">
        <v>55</v>
      </c>
      <c r="V276" s="16" t="s">
        <v>127</v>
      </c>
      <c r="W276" s="16"/>
      <c r="X276" s="6"/>
      <c r="Y276" s="6"/>
      <c r="Z276" s="6"/>
    </row>
    <row r="277" ht="15.0" customHeight="1">
      <c r="A277" s="7" t="s">
        <v>1517</v>
      </c>
      <c r="B277" s="7" t="s">
        <v>1518</v>
      </c>
      <c r="C277" s="7" t="s">
        <v>1519</v>
      </c>
      <c r="D277" s="7" t="s">
        <v>210</v>
      </c>
      <c r="E277" s="7" t="s">
        <v>48</v>
      </c>
      <c r="F277" s="7" t="s">
        <v>92</v>
      </c>
      <c r="G277" s="7" t="s">
        <v>55</v>
      </c>
      <c r="H277" s="7" t="s">
        <v>55</v>
      </c>
      <c r="I277" s="7" t="s">
        <v>55</v>
      </c>
      <c r="J277" s="7" t="s">
        <v>55</v>
      </c>
      <c r="K277" s="7"/>
      <c r="L277" s="14" t="str">
        <f t="shared" si="1"/>
        <v>Sim</v>
      </c>
      <c r="M277" s="7"/>
      <c r="N277" s="7"/>
      <c r="O277" s="7" t="s">
        <v>55</v>
      </c>
      <c r="P277" s="7"/>
      <c r="Q277" s="16" t="s">
        <v>55</v>
      </c>
      <c r="R277" s="16" t="s">
        <v>55</v>
      </c>
      <c r="S277" s="16" t="s">
        <v>55</v>
      </c>
      <c r="T277" s="16" t="s">
        <v>55</v>
      </c>
      <c r="U277" s="16" t="s">
        <v>55</v>
      </c>
      <c r="V277" s="16" t="s">
        <v>127</v>
      </c>
      <c r="W277" s="16"/>
      <c r="X277" s="6"/>
      <c r="Y277" s="6"/>
      <c r="Z277" s="6"/>
    </row>
    <row r="278" ht="15.0" customHeight="1">
      <c r="A278" s="7" t="s">
        <v>1521</v>
      </c>
      <c r="B278" s="7" t="s">
        <v>1522</v>
      </c>
      <c r="C278" s="7" t="s">
        <v>1523</v>
      </c>
      <c r="D278" s="7" t="s">
        <v>210</v>
      </c>
      <c r="E278" s="7" t="s">
        <v>80</v>
      </c>
      <c r="F278" s="7" t="s">
        <v>92</v>
      </c>
      <c r="G278" s="7" t="s">
        <v>55</v>
      </c>
      <c r="H278" s="7" t="s">
        <v>55</v>
      </c>
      <c r="I278" s="7" t="s">
        <v>55</v>
      </c>
      <c r="J278" s="7" t="s">
        <v>55</v>
      </c>
      <c r="K278" s="7"/>
      <c r="L278" s="14" t="str">
        <f t="shared" si="1"/>
        <v>Sim</v>
      </c>
      <c r="M278" s="7"/>
      <c r="N278" s="7"/>
      <c r="O278" s="7" t="s">
        <v>55</v>
      </c>
      <c r="P278" s="7"/>
      <c r="Q278" s="16" t="s">
        <v>55</v>
      </c>
      <c r="R278" s="16" t="s">
        <v>55</v>
      </c>
      <c r="S278" s="16" t="s">
        <v>55</v>
      </c>
      <c r="T278" s="16" t="s">
        <v>55</v>
      </c>
      <c r="U278" s="16" t="s">
        <v>55</v>
      </c>
      <c r="V278" s="16" t="s">
        <v>127</v>
      </c>
      <c r="W278" s="16"/>
      <c r="X278" s="6"/>
      <c r="Y278" s="6"/>
      <c r="Z278" s="6"/>
    </row>
    <row r="279" ht="15.0" customHeight="1">
      <c r="A279" s="7" t="s">
        <v>1527</v>
      </c>
      <c r="B279" s="7" t="s">
        <v>1529</v>
      </c>
      <c r="C279" s="7" t="s">
        <v>1530</v>
      </c>
      <c r="D279" s="7" t="s">
        <v>210</v>
      </c>
      <c r="E279" s="7" t="s">
        <v>85</v>
      </c>
      <c r="F279" s="7" t="s">
        <v>92</v>
      </c>
      <c r="G279" s="7" t="s">
        <v>55</v>
      </c>
      <c r="H279" s="7" t="s">
        <v>57</v>
      </c>
      <c r="I279" s="7" t="s">
        <v>57</v>
      </c>
      <c r="J279" s="7" t="s">
        <v>55</v>
      </c>
      <c r="K279" s="7"/>
      <c r="L279" s="14" t="str">
        <f t="shared" si="1"/>
        <v>Não</v>
      </c>
      <c r="M279" s="7"/>
      <c r="N279" s="7"/>
      <c r="O279" s="7" t="s">
        <v>55</v>
      </c>
      <c r="P279" s="7"/>
      <c r="Q279" s="16" t="s">
        <v>55</v>
      </c>
      <c r="R279" s="16" t="s">
        <v>57</v>
      </c>
      <c r="S279" s="16" t="s">
        <v>57</v>
      </c>
      <c r="T279" s="16" t="s">
        <v>55</v>
      </c>
      <c r="U279" s="16" t="s">
        <v>57</v>
      </c>
      <c r="V279" s="16" t="s">
        <v>99</v>
      </c>
      <c r="W279" s="16"/>
      <c r="X279" s="6"/>
      <c r="Y279" s="6"/>
      <c r="Z279" s="6"/>
    </row>
    <row r="280" ht="15.0" customHeight="1">
      <c r="A280" s="7" t="s">
        <v>1531</v>
      </c>
      <c r="B280" s="7" t="s">
        <v>1532</v>
      </c>
      <c r="C280" s="7" t="s">
        <v>1533</v>
      </c>
      <c r="D280" s="7" t="s">
        <v>210</v>
      </c>
      <c r="E280" s="7" t="s">
        <v>85</v>
      </c>
      <c r="F280" s="7" t="s">
        <v>92</v>
      </c>
      <c r="G280" s="7" t="s">
        <v>55</v>
      </c>
      <c r="H280" s="7" t="s">
        <v>55</v>
      </c>
      <c r="I280" s="7" t="s">
        <v>55</v>
      </c>
      <c r="J280" s="7" t="s">
        <v>55</v>
      </c>
      <c r="K280" s="7"/>
      <c r="L280" s="14" t="str">
        <f t="shared" si="1"/>
        <v>Sim</v>
      </c>
      <c r="M280" s="7"/>
      <c r="N280" s="7"/>
      <c r="O280" s="7" t="s">
        <v>55</v>
      </c>
      <c r="P280" s="7"/>
      <c r="Q280" s="16" t="s">
        <v>55</v>
      </c>
      <c r="R280" s="16" t="s">
        <v>55</v>
      </c>
      <c r="S280" s="16" t="s">
        <v>55</v>
      </c>
      <c r="T280" s="16" t="s">
        <v>55</v>
      </c>
      <c r="U280" s="16" t="s">
        <v>55</v>
      </c>
      <c r="V280" s="16" t="s">
        <v>127</v>
      </c>
      <c r="W280" s="16"/>
      <c r="X280" s="6"/>
      <c r="Y280" s="6"/>
      <c r="Z280" s="6"/>
    </row>
    <row r="281" ht="31.5" customHeight="1">
      <c r="A281" s="7" t="s">
        <v>1535</v>
      </c>
      <c r="B281" s="7" t="s">
        <v>1536</v>
      </c>
      <c r="C281" s="7" t="s">
        <v>1537</v>
      </c>
      <c r="D281" s="7" t="s">
        <v>210</v>
      </c>
      <c r="E281" s="7" t="s">
        <v>267</v>
      </c>
      <c r="F281" s="7" t="s">
        <v>92</v>
      </c>
      <c r="G281" s="7" t="s">
        <v>55</v>
      </c>
      <c r="H281" s="7" t="s">
        <v>55</v>
      </c>
      <c r="I281" s="7" t="s">
        <v>55</v>
      </c>
      <c r="J281" s="7" t="s">
        <v>55</v>
      </c>
      <c r="K281" s="11" t="s">
        <v>1538</v>
      </c>
      <c r="L281" s="14" t="str">
        <f t="shared" si="1"/>
        <v>Não</v>
      </c>
      <c r="M281" s="7"/>
      <c r="N281" s="7"/>
      <c r="O281" s="7" t="s">
        <v>55</v>
      </c>
      <c r="P281" s="7"/>
      <c r="Q281" s="16" t="s">
        <v>55</v>
      </c>
      <c r="R281" s="16" t="s">
        <v>55</v>
      </c>
      <c r="S281" s="16" t="s">
        <v>55</v>
      </c>
      <c r="T281" s="16" t="s">
        <v>55</v>
      </c>
      <c r="U281" s="16" t="s">
        <v>55</v>
      </c>
      <c r="V281" s="16" t="s">
        <v>127</v>
      </c>
      <c r="W281" s="16" t="s">
        <v>1539</v>
      </c>
      <c r="X281" s="6"/>
      <c r="Y281" s="6"/>
      <c r="Z281" s="6"/>
    </row>
    <row r="282" ht="15.0" customHeight="1">
      <c r="A282" s="7" t="s">
        <v>1540</v>
      </c>
      <c r="B282" s="7" t="s">
        <v>1541</v>
      </c>
      <c r="C282" s="7" t="s">
        <v>1542</v>
      </c>
      <c r="D282" s="7" t="s">
        <v>210</v>
      </c>
      <c r="E282" s="7" t="s">
        <v>259</v>
      </c>
      <c r="F282" s="7" t="s">
        <v>92</v>
      </c>
      <c r="G282" s="7" t="s">
        <v>55</v>
      </c>
      <c r="H282" s="7" t="s">
        <v>55</v>
      </c>
      <c r="I282" s="7" t="s">
        <v>55</v>
      </c>
      <c r="J282" s="7" t="s">
        <v>55</v>
      </c>
      <c r="K282" s="7"/>
      <c r="L282" s="14" t="str">
        <f t="shared" si="1"/>
        <v>Sim</v>
      </c>
      <c r="M282" s="7"/>
      <c r="N282" s="7"/>
      <c r="O282" s="7" t="s">
        <v>55</v>
      </c>
      <c r="P282" s="7"/>
      <c r="Q282" s="16" t="s">
        <v>55</v>
      </c>
      <c r="R282" s="16" t="s">
        <v>55</v>
      </c>
      <c r="S282" s="16" t="s">
        <v>55</v>
      </c>
      <c r="T282" s="16" t="s">
        <v>55</v>
      </c>
      <c r="U282" s="16" t="s">
        <v>55</v>
      </c>
      <c r="V282" s="16" t="s">
        <v>127</v>
      </c>
      <c r="W282" s="16"/>
      <c r="X282" s="6"/>
      <c r="Y282" s="6"/>
      <c r="Z282" s="6"/>
    </row>
    <row r="283" ht="15.0" customHeight="1">
      <c r="A283" s="7" t="s">
        <v>1543</v>
      </c>
      <c r="B283" s="7" t="s">
        <v>1544</v>
      </c>
      <c r="C283" s="7" t="s">
        <v>1545</v>
      </c>
      <c r="D283" s="7" t="s">
        <v>210</v>
      </c>
      <c r="E283" s="7" t="s">
        <v>259</v>
      </c>
      <c r="F283" s="7" t="s">
        <v>92</v>
      </c>
      <c r="G283" s="7" t="s">
        <v>55</v>
      </c>
      <c r="H283" s="7" t="s">
        <v>55</v>
      </c>
      <c r="I283" s="7" t="s">
        <v>55</v>
      </c>
      <c r="J283" s="7" t="s">
        <v>55</v>
      </c>
      <c r="K283" s="7"/>
      <c r="L283" s="14" t="str">
        <f t="shared" si="1"/>
        <v>Sim</v>
      </c>
      <c r="M283" s="7"/>
      <c r="N283" s="7"/>
      <c r="O283" s="7" t="s">
        <v>55</v>
      </c>
      <c r="P283" s="7"/>
      <c r="Q283" s="16" t="s">
        <v>55</v>
      </c>
      <c r="R283" s="16" t="s">
        <v>55</v>
      </c>
      <c r="S283" s="16" t="s">
        <v>55</v>
      </c>
      <c r="T283" s="16" t="s">
        <v>55</v>
      </c>
      <c r="U283" s="16" t="s">
        <v>55</v>
      </c>
      <c r="V283" s="16" t="s">
        <v>127</v>
      </c>
      <c r="W283" s="16"/>
      <c r="X283" s="6"/>
      <c r="Y283" s="6"/>
      <c r="Z283" s="6"/>
    </row>
    <row r="284" ht="15.0" customHeight="1">
      <c r="A284" s="7" t="s">
        <v>1546</v>
      </c>
      <c r="B284" s="7" t="s">
        <v>1547</v>
      </c>
      <c r="C284" s="7" t="s">
        <v>1548</v>
      </c>
      <c r="D284" s="7" t="s">
        <v>210</v>
      </c>
      <c r="E284" s="7" t="s">
        <v>267</v>
      </c>
      <c r="F284" s="7" t="s">
        <v>92</v>
      </c>
      <c r="G284" s="7" t="s">
        <v>55</v>
      </c>
      <c r="H284" s="7" t="s">
        <v>55</v>
      </c>
      <c r="I284" s="7" t="s">
        <v>55</v>
      </c>
      <c r="J284" s="7" t="s">
        <v>55</v>
      </c>
      <c r="K284" s="7"/>
      <c r="L284" s="14" t="str">
        <f t="shared" si="1"/>
        <v>Sim</v>
      </c>
      <c r="M284" s="7"/>
      <c r="N284" s="7"/>
      <c r="O284" s="7" t="s">
        <v>55</v>
      </c>
      <c r="P284" s="7"/>
      <c r="Q284" s="16" t="s">
        <v>55</v>
      </c>
      <c r="R284" s="16" t="s">
        <v>55</v>
      </c>
      <c r="S284" s="16" t="s">
        <v>55</v>
      </c>
      <c r="T284" s="16" t="s">
        <v>55</v>
      </c>
      <c r="U284" s="16" t="s">
        <v>55</v>
      </c>
      <c r="V284" s="16" t="s">
        <v>127</v>
      </c>
      <c r="W284" s="16"/>
      <c r="X284" s="6"/>
      <c r="Y284" s="6"/>
      <c r="Z284" s="6"/>
    </row>
    <row r="285" ht="15.0" customHeight="1">
      <c r="A285" s="7" t="s">
        <v>1549</v>
      </c>
      <c r="B285" s="7" t="s">
        <v>1551</v>
      </c>
      <c r="C285" s="7" t="s">
        <v>1552</v>
      </c>
      <c r="D285" s="7" t="s">
        <v>210</v>
      </c>
      <c r="E285" s="7" t="s">
        <v>315</v>
      </c>
      <c r="F285" s="7" t="s">
        <v>92</v>
      </c>
      <c r="G285" s="7" t="s">
        <v>55</v>
      </c>
      <c r="H285" s="7" t="s">
        <v>55</v>
      </c>
      <c r="I285" s="7" t="s">
        <v>55</v>
      </c>
      <c r="J285" s="7" t="s">
        <v>55</v>
      </c>
      <c r="K285" s="7"/>
      <c r="L285" s="14" t="str">
        <f t="shared" si="1"/>
        <v>Sim</v>
      </c>
      <c r="M285" s="7"/>
      <c r="N285" s="7"/>
      <c r="O285" s="7" t="s">
        <v>55</v>
      </c>
      <c r="P285" s="7"/>
      <c r="Q285" s="16" t="s">
        <v>55</v>
      </c>
      <c r="R285" s="16" t="s">
        <v>55</v>
      </c>
      <c r="S285" s="16" t="s">
        <v>55</v>
      </c>
      <c r="T285" s="16" t="s">
        <v>55</v>
      </c>
      <c r="U285" s="16" t="s">
        <v>55</v>
      </c>
      <c r="V285" s="16" t="s">
        <v>127</v>
      </c>
      <c r="W285" s="16"/>
      <c r="X285" s="6"/>
      <c r="Y285" s="6"/>
      <c r="Z285" s="6"/>
    </row>
    <row r="286" ht="15.0" customHeight="1">
      <c r="A286" s="7" t="s">
        <v>1555</v>
      </c>
      <c r="B286" s="7" t="s">
        <v>1556</v>
      </c>
      <c r="C286" s="7" t="s">
        <v>1557</v>
      </c>
      <c r="D286" s="7" t="s">
        <v>210</v>
      </c>
      <c r="E286" s="7" t="s">
        <v>194</v>
      </c>
      <c r="F286" s="7" t="s">
        <v>92</v>
      </c>
      <c r="G286" s="7" t="s">
        <v>55</v>
      </c>
      <c r="H286" s="7" t="s">
        <v>55</v>
      </c>
      <c r="I286" s="7" t="s">
        <v>55</v>
      </c>
      <c r="J286" s="7" t="s">
        <v>55</v>
      </c>
      <c r="K286" s="11" t="s">
        <v>1560</v>
      </c>
      <c r="L286" s="14" t="str">
        <f t="shared" si="1"/>
        <v>Não</v>
      </c>
      <c r="M286" s="7"/>
      <c r="N286" s="7"/>
      <c r="O286" s="7" t="s">
        <v>55</v>
      </c>
      <c r="P286" s="7"/>
      <c r="Q286" s="16" t="s">
        <v>55</v>
      </c>
      <c r="R286" s="16" t="s">
        <v>55</v>
      </c>
      <c r="S286" s="16" t="s">
        <v>55</v>
      </c>
      <c r="T286" s="16" t="s">
        <v>55</v>
      </c>
      <c r="U286" s="16" t="s">
        <v>55</v>
      </c>
      <c r="V286" s="16" t="s">
        <v>127</v>
      </c>
      <c r="W286" s="16" t="s">
        <v>1561</v>
      </c>
      <c r="X286" s="6"/>
      <c r="Y286" s="6"/>
      <c r="Z286" s="6"/>
    </row>
    <row r="287" ht="15.0" customHeight="1">
      <c r="A287" s="7" t="s">
        <v>1562</v>
      </c>
      <c r="B287" s="7" t="s">
        <v>1563</v>
      </c>
      <c r="C287" s="7" t="s">
        <v>1564</v>
      </c>
      <c r="D287" s="7" t="s">
        <v>210</v>
      </c>
      <c r="E287" s="7" t="s">
        <v>194</v>
      </c>
      <c r="F287" s="7" t="s">
        <v>92</v>
      </c>
      <c r="G287" s="7" t="s">
        <v>55</v>
      </c>
      <c r="H287" s="7" t="s">
        <v>55</v>
      </c>
      <c r="I287" s="7" t="s">
        <v>55</v>
      </c>
      <c r="J287" s="7" t="s">
        <v>55</v>
      </c>
      <c r="K287" s="11" t="s">
        <v>1565</v>
      </c>
      <c r="L287" s="14" t="str">
        <f t="shared" si="1"/>
        <v>Não</v>
      </c>
      <c r="M287" s="7"/>
      <c r="N287" s="7"/>
      <c r="O287" s="7" t="s">
        <v>55</v>
      </c>
      <c r="P287" s="7"/>
      <c r="Q287" s="16" t="s">
        <v>55</v>
      </c>
      <c r="R287" s="16" t="s">
        <v>55</v>
      </c>
      <c r="S287" s="16" t="s">
        <v>55</v>
      </c>
      <c r="T287" s="16" t="s">
        <v>55</v>
      </c>
      <c r="U287" s="16" t="s">
        <v>55</v>
      </c>
      <c r="V287" s="16" t="s">
        <v>127</v>
      </c>
      <c r="W287" s="16" t="s">
        <v>1566</v>
      </c>
      <c r="X287" s="6"/>
      <c r="Y287" s="6"/>
      <c r="Z287" s="6"/>
    </row>
    <row r="288" ht="15.0" customHeight="1">
      <c r="A288" s="7" t="s">
        <v>1567</v>
      </c>
      <c r="B288" s="7" t="s">
        <v>1568</v>
      </c>
      <c r="C288" s="7" t="s">
        <v>1569</v>
      </c>
      <c r="D288" s="7" t="s">
        <v>210</v>
      </c>
      <c r="E288" s="7" t="s">
        <v>138</v>
      </c>
      <c r="F288" s="7" t="s">
        <v>92</v>
      </c>
      <c r="G288" s="7" t="s">
        <v>55</v>
      </c>
      <c r="H288" s="7" t="s">
        <v>55</v>
      </c>
      <c r="I288" s="7" t="s">
        <v>55</v>
      </c>
      <c r="J288" s="7" t="s">
        <v>55</v>
      </c>
      <c r="K288" s="7"/>
      <c r="L288" s="14" t="str">
        <f t="shared" si="1"/>
        <v>Sim</v>
      </c>
      <c r="M288" s="7"/>
      <c r="N288" s="7"/>
      <c r="O288" s="7" t="s">
        <v>55</v>
      </c>
      <c r="P288" s="7"/>
      <c r="Q288" s="16" t="s">
        <v>55</v>
      </c>
      <c r="R288" s="16" t="s">
        <v>55</v>
      </c>
      <c r="S288" s="16" t="s">
        <v>55</v>
      </c>
      <c r="T288" s="16" t="s">
        <v>55</v>
      </c>
      <c r="U288" s="16" t="s">
        <v>55</v>
      </c>
      <c r="V288" s="16" t="s">
        <v>127</v>
      </c>
      <c r="W288" s="16"/>
      <c r="X288" s="6"/>
      <c r="Y288" s="6"/>
      <c r="Z288" s="6"/>
    </row>
    <row r="289" ht="15.0" customHeight="1">
      <c r="A289" s="7" t="s">
        <v>1571</v>
      </c>
      <c r="B289" s="7" t="s">
        <v>1572</v>
      </c>
      <c r="C289" s="7" t="s">
        <v>1573</v>
      </c>
      <c r="D289" s="7" t="s">
        <v>210</v>
      </c>
      <c r="E289" s="7" t="s">
        <v>291</v>
      </c>
      <c r="F289" s="7" t="s">
        <v>92</v>
      </c>
      <c r="G289" s="7" t="s">
        <v>55</v>
      </c>
      <c r="H289" s="7" t="s">
        <v>55</v>
      </c>
      <c r="I289" s="7" t="s">
        <v>55</v>
      </c>
      <c r="J289" s="7" t="s">
        <v>55</v>
      </c>
      <c r="K289" s="7"/>
      <c r="L289" s="14" t="str">
        <f t="shared" si="1"/>
        <v>Sim</v>
      </c>
      <c r="M289" s="7"/>
      <c r="N289" s="7"/>
      <c r="O289" s="7" t="s">
        <v>55</v>
      </c>
      <c r="P289" s="7"/>
      <c r="Q289" s="16" t="s">
        <v>55</v>
      </c>
      <c r="R289" s="16" t="s">
        <v>55</v>
      </c>
      <c r="S289" s="16" t="s">
        <v>55</v>
      </c>
      <c r="T289" s="16" t="s">
        <v>55</v>
      </c>
      <c r="U289" s="16" t="s">
        <v>55</v>
      </c>
      <c r="V289" s="16" t="s">
        <v>127</v>
      </c>
      <c r="W289" s="16"/>
      <c r="X289" s="6"/>
      <c r="Y289" s="6"/>
      <c r="Z289" s="6"/>
    </row>
    <row r="290" ht="15.0" customHeight="1">
      <c r="A290" s="7" t="s">
        <v>1574</v>
      </c>
      <c r="B290" s="7" t="s">
        <v>1575</v>
      </c>
      <c r="C290" s="7" t="s">
        <v>1576</v>
      </c>
      <c r="D290" s="7" t="s">
        <v>210</v>
      </c>
      <c r="E290" s="7" t="s">
        <v>85</v>
      </c>
      <c r="F290" s="7" t="s">
        <v>92</v>
      </c>
      <c r="G290" s="7" t="s">
        <v>55</v>
      </c>
      <c r="H290" s="7" t="s">
        <v>55</v>
      </c>
      <c r="I290" s="7" t="s">
        <v>55</v>
      </c>
      <c r="J290" s="7" t="s">
        <v>55</v>
      </c>
      <c r="K290" s="7"/>
      <c r="L290" s="14" t="str">
        <f t="shared" si="1"/>
        <v>Sim</v>
      </c>
      <c r="M290" s="7"/>
      <c r="N290" s="7"/>
      <c r="O290" s="7" t="s">
        <v>55</v>
      </c>
      <c r="P290" s="7"/>
      <c r="Q290" s="16" t="s">
        <v>55</v>
      </c>
      <c r="R290" s="16" t="s">
        <v>55</v>
      </c>
      <c r="S290" s="16" t="s">
        <v>55</v>
      </c>
      <c r="T290" s="16" t="s">
        <v>55</v>
      </c>
      <c r="U290" s="16" t="s">
        <v>55</v>
      </c>
      <c r="V290" s="16" t="s">
        <v>1577</v>
      </c>
      <c r="W290" s="16"/>
      <c r="X290" s="6"/>
      <c r="Y290" s="6"/>
      <c r="Z290" s="6"/>
    </row>
    <row r="291" ht="15.0" customHeight="1">
      <c r="A291" s="7" t="s">
        <v>1578</v>
      </c>
      <c r="B291" s="7" t="s">
        <v>1579</v>
      </c>
      <c r="C291" s="7" t="s">
        <v>1580</v>
      </c>
      <c r="D291" s="7" t="s">
        <v>210</v>
      </c>
      <c r="E291" s="7" t="s">
        <v>85</v>
      </c>
      <c r="F291" s="7" t="s">
        <v>92</v>
      </c>
      <c r="G291" s="7" t="s">
        <v>55</v>
      </c>
      <c r="H291" s="7" t="s">
        <v>55</v>
      </c>
      <c r="I291" s="7" t="s">
        <v>55</v>
      </c>
      <c r="J291" s="7" t="s">
        <v>55</v>
      </c>
      <c r="K291" s="7"/>
      <c r="L291" s="14" t="str">
        <f t="shared" si="1"/>
        <v>Sim</v>
      </c>
      <c r="M291" s="7"/>
      <c r="N291" s="7"/>
      <c r="O291" s="7" t="s">
        <v>55</v>
      </c>
      <c r="P291" s="7"/>
      <c r="Q291" s="16" t="s">
        <v>55</v>
      </c>
      <c r="R291" s="16" t="s">
        <v>55</v>
      </c>
      <c r="S291" s="16" t="s">
        <v>55</v>
      </c>
      <c r="T291" s="16" t="s">
        <v>55</v>
      </c>
      <c r="U291" s="16" t="s">
        <v>55</v>
      </c>
      <c r="V291" s="16" t="s">
        <v>1577</v>
      </c>
      <c r="W291" s="16"/>
      <c r="X291" s="6"/>
      <c r="Y291" s="6"/>
      <c r="Z291" s="6"/>
    </row>
    <row r="292" ht="15.0" customHeight="1">
      <c r="A292" s="7" t="s">
        <v>1581</v>
      </c>
      <c r="B292" s="7" t="s">
        <v>1582</v>
      </c>
      <c r="C292" s="7" t="s">
        <v>1583</v>
      </c>
      <c r="D292" s="7" t="s">
        <v>210</v>
      </c>
      <c r="E292" s="7" t="s">
        <v>85</v>
      </c>
      <c r="F292" s="7" t="s">
        <v>92</v>
      </c>
      <c r="G292" s="7" t="s">
        <v>55</v>
      </c>
      <c r="H292" s="7" t="s">
        <v>55</v>
      </c>
      <c r="I292" s="7" t="s">
        <v>55</v>
      </c>
      <c r="J292" s="7" t="s">
        <v>55</v>
      </c>
      <c r="K292" s="7"/>
      <c r="L292" s="14" t="str">
        <f t="shared" si="1"/>
        <v>Sim</v>
      </c>
      <c r="M292" s="7"/>
      <c r="N292" s="7"/>
      <c r="O292" s="7" t="s">
        <v>55</v>
      </c>
      <c r="P292" s="7"/>
      <c r="Q292" s="16" t="s">
        <v>55</v>
      </c>
      <c r="R292" s="16" t="s">
        <v>55</v>
      </c>
      <c r="S292" s="16" t="s">
        <v>55</v>
      </c>
      <c r="T292" s="16" t="s">
        <v>55</v>
      </c>
      <c r="U292" s="16" t="s">
        <v>55</v>
      </c>
      <c r="V292" s="16" t="s">
        <v>1577</v>
      </c>
      <c r="W292" s="16"/>
      <c r="X292" s="6"/>
      <c r="Y292" s="6"/>
      <c r="Z292" s="6"/>
    </row>
    <row r="293" ht="15.0" customHeight="1">
      <c r="A293" s="7" t="s">
        <v>1584</v>
      </c>
      <c r="B293" s="7" t="s">
        <v>1585</v>
      </c>
      <c r="C293" s="7" t="s">
        <v>1586</v>
      </c>
      <c r="D293" s="7" t="s">
        <v>210</v>
      </c>
      <c r="E293" s="7" t="s">
        <v>85</v>
      </c>
      <c r="F293" s="7" t="s">
        <v>92</v>
      </c>
      <c r="G293" s="7" t="s">
        <v>55</v>
      </c>
      <c r="H293" s="7" t="s">
        <v>57</v>
      </c>
      <c r="I293" s="7" t="s">
        <v>57</v>
      </c>
      <c r="J293" s="7" t="s">
        <v>55</v>
      </c>
      <c r="K293" s="7"/>
      <c r="L293" s="14" t="str">
        <f t="shared" si="1"/>
        <v>Não</v>
      </c>
      <c r="M293" s="7"/>
      <c r="N293" s="7"/>
      <c r="O293" s="7" t="s">
        <v>55</v>
      </c>
      <c r="P293" s="7"/>
      <c r="Q293" s="16" t="s">
        <v>55</v>
      </c>
      <c r="R293" s="16" t="s">
        <v>57</v>
      </c>
      <c r="S293" s="16" t="s">
        <v>57</v>
      </c>
      <c r="T293" s="16" t="s">
        <v>55</v>
      </c>
      <c r="U293" s="16" t="s">
        <v>57</v>
      </c>
      <c r="V293" s="16" t="s">
        <v>99</v>
      </c>
      <c r="W293" s="16"/>
      <c r="X293" s="6"/>
      <c r="Y293" s="6"/>
      <c r="Z293" s="6"/>
    </row>
    <row r="294" ht="29.25" customHeight="1">
      <c r="A294" s="7" t="s">
        <v>1587</v>
      </c>
      <c r="B294" s="7" t="s">
        <v>1588</v>
      </c>
      <c r="C294" s="7" t="s">
        <v>1589</v>
      </c>
      <c r="D294" s="7" t="s">
        <v>210</v>
      </c>
      <c r="E294" s="7" t="s">
        <v>85</v>
      </c>
      <c r="F294" s="7" t="s">
        <v>92</v>
      </c>
      <c r="G294" s="7" t="s">
        <v>55</v>
      </c>
      <c r="H294" s="7" t="s">
        <v>55</v>
      </c>
      <c r="I294" s="7" t="s">
        <v>55</v>
      </c>
      <c r="J294" s="7" t="s">
        <v>55</v>
      </c>
      <c r="K294" s="11" t="s">
        <v>1590</v>
      </c>
      <c r="L294" s="14" t="str">
        <f t="shared" si="1"/>
        <v>Não</v>
      </c>
      <c r="M294" s="7"/>
      <c r="N294" s="7"/>
      <c r="O294" s="7" t="s">
        <v>55</v>
      </c>
      <c r="P294" s="7"/>
      <c r="Q294" s="16" t="s">
        <v>55</v>
      </c>
      <c r="R294" s="16" t="s">
        <v>55</v>
      </c>
      <c r="S294" s="16" t="s">
        <v>55</v>
      </c>
      <c r="T294" s="16" t="s">
        <v>55</v>
      </c>
      <c r="U294" s="16" t="s">
        <v>55</v>
      </c>
      <c r="V294" s="16" t="s">
        <v>1577</v>
      </c>
      <c r="W294" s="16" t="s">
        <v>1591</v>
      </c>
      <c r="X294" s="6"/>
      <c r="Y294" s="6"/>
      <c r="Z294" s="6"/>
    </row>
    <row r="295" ht="15.0" customHeight="1">
      <c r="A295" s="7" t="s">
        <v>1592</v>
      </c>
      <c r="B295" s="7" t="s">
        <v>1593</v>
      </c>
      <c r="C295" s="7" t="s">
        <v>1594</v>
      </c>
      <c r="D295" s="7" t="s">
        <v>210</v>
      </c>
      <c r="E295" s="7" t="s">
        <v>85</v>
      </c>
      <c r="F295" s="7" t="s">
        <v>92</v>
      </c>
      <c r="G295" s="7" t="s">
        <v>55</v>
      </c>
      <c r="H295" s="7" t="s">
        <v>55</v>
      </c>
      <c r="I295" s="7" t="s">
        <v>55</v>
      </c>
      <c r="J295" s="7" t="s">
        <v>55</v>
      </c>
      <c r="K295" s="11" t="s">
        <v>1595</v>
      </c>
      <c r="L295" s="14" t="str">
        <f t="shared" si="1"/>
        <v>Não</v>
      </c>
      <c r="M295" s="7"/>
      <c r="N295" s="7"/>
      <c r="O295" s="7" t="s">
        <v>55</v>
      </c>
      <c r="P295" s="7"/>
      <c r="Q295" s="16" t="s">
        <v>55</v>
      </c>
      <c r="R295" s="16" t="s">
        <v>55</v>
      </c>
      <c r="S295" s="16" t="s">
        <v>55</v>
      </c>
      <c r="T295" s="16" t="s">
        <v>55</v>
      </c>
      <c r="U295" s="16" t="s">
        <v>55</v>
      </c>
      <c r="V295" s="16" t="s">
        <v>1577</v>
      </c>
      <c r="W295" s="16" t="s">
        <v>1597</v>
      </c>
      <c r="X295" s="6"/>
      <c r="Y295" s="6"/>
      <c r="Z295" s="6"/>
    </row>
    <row r="296" ht="15.0" customHeight="1">
      <c r="A296" s="7" t="s">
        <v>1598</v>
      </c>
      <c r="B296" s="7" t="s">
        <v>1599</v>
      </c>
      <c r="C296" s="7" t="s">
        <v>1600</v>
      </c>
      <c r="D296" s="7" t="s">
        <v>210</v>
      </c>
      <c r="E296" s="7" t="s">
        <v>85</v>
      </c>
      <c r="F296" s="7" t="s">
        <v>92</v>
      </c>
      <c r="G296" s="7" t="s">
        <v>55</v>
      </c>
      <c r="H296" s="7" t="s">
        <v>55</v>
      </c>
      <c r="I296" s="7" t="s">
        <v>55</v>
      </c>
      <c r="J296" s="7" t="s">
        <v>55</v>
      </c>
      <c r="K296" s="11" t="s">
        <v>1603</v>
      </c>
      <c r="L296" s="14" t="str">
        <f t="shared" si="1"/>
        <v>Não</v>
      </c>
      <c r="M296" s="7"/>
      <c r="N296" s="7"/>
      <c r="O296" s="7" t="s">
        <v>55</v>
      </c>
      <c r="P296" s="7"/>
      <c r="Q296" s="16" t="s">
        <v>55</v>
      </c>
      <c r="R296" s="16" t="s">
        <v>55</v>
      </c>
      <c r="S296" s="16" t="s">
        <v>55</v>
      </c>
      <c r="T296" s="16" t="s">
        <v>55</v>
      </c>
      <c r="U296" s="16" t="s">
        <v>55</v>
      </c>
      <c r="V296" s="16" t="s">
        <v>1577</v>
      </c>
      <c r="W296" s="16" t="s">
        <v>1606</v>
      </c>
      <c r="X296" s="6"/>
      <c r="Y296" s="6"/>
      <c r="Z296" s="6"/>
    </row>
    <row r="297" ht="15.0" customHeight="1">
      <c r="A297" s="7" t="s">
        <v>1607</v>
      </c>
      <c r="B297" s="7" t="s">
        <v>1608</v>
      </c>
      <c r="C297" s="7" t="s">
        <v>1609</v>
      </c>
      <c r="D297" s="7" t="s">
        <v>210</v>
      </c>
      <c r="E297" s="7" t="s">
        <v>85</v>
      </c>
      <c r="F297" s="7" t="s">
        <v>92</v>
      </c>
      <c r="G297" s="7" t="s">
        <v>55</v>
      </c>
      <c r="H297" s="7" t="s">
        <v>55</v>
      </c>
      <c r="I297" s="7" t="s">
        <v>55</v>
      </c>
      <c r="J297" s="7" t="s">
        <v>55</v>
      </c>
      <c r="K297" s="11" t="s">
        <v>1610</v>
      </c>
      <c r="L297" s="14" t="str">
        <f t="shared" si="1"/>
        <v>Não</v>
      </c>
      <c r="M297" s="7"/>
      <c r="N297" s="7"/>
      <c r="O297" s="7" t="s">
        <v>55</v>
      </c>
      <c r="P297" s="7"/>
      <c r="Q297" s="16" t="s">
        <v>55</v>
      </c>
      <c r="R297" s="16" t="s">
        <v>55</v>
      </c>
      <c r="S297" s="16" t="s">
        <v>55</v>
      </c>
      <c r="T297" s="16" t="s">
        <v>55</v>
      </c>
      <c r="U297" s="16" t="s">
        <v>55</v>
      </c>
      <c r="V297" s="16" t="s">
        <v>1577</v>
      </c>
      <c r="W297" s="16" t="s">
        <v>1611</v>
      </c>
      <c r="X297" s="6"/>
      <c r="Y297" s="6"/>
      <c r="Z297" s="6"/>
    </row>
    <row r="298" ht="15.0" customHeight="1">
      <c r="A298" s="7" t="s">
        <v>1612</v>
      </c>
      <c r="B298" s="7" t="s">
        <v>1613</v>
      </c>
      <c r="C298" s="7" t="s">
        <v>1614</v>
      </c>
      <c r="D298" s="7" t="s">
        <v>210</v>
      </c>
      <c r="E298" s="7" t="s">
        <v>80</v>
      </c>
      <c r="F298" s="7" t="s">
        <v>92</v>
      </c>
      <c r="G298" s="7" t="s">
        <v>55</v>
      </c>
      <c r="H298" s="7" t="s">
        <v>55</v>
      </c>
      <c r="I298" s="7" t="s">
        <v>55</v>
      </c>
      <c r="J298" s="7" t="s">
        <v>55</v>
      </c>
      <c r="K298" s="11" t="s">
        <v>1615</v>
      </c>
      <c r="L298" s="14" t="str">
        <f t="shared" si="1"/>
        <v>Não</v>
      </c>
      <c r="M298" s="7"/>
      <c r="N298" s="7"/>
      <c r="O298" s="7" t="s">
        <v>55</v>
      </c>
      <c r="P298" s="7"/>
      <c r="Q298" s="16" t="s">
        <v>55</v>
      </c>
      <c r="R298" s="16" t="s">
        <v>55</v>
      </c>
      <c r="S298" s="16" t="s">
        <v>55</v>
      </c>
      <c r="T298" s="16" t="s">
        <v>55</v>
      </c>
      <c r="U298" s="16" t="s">
        <v>55</v>
      </c>
      <c r="V298" s="16" t="s">
        <v>1577</v>
      </c>
      <c r="W298" s="16" t="s">
        <v>1616</v>
      </c>
      <c r="X298" s="6"/>
      <c r="Y298" s="6"/>
      <c r="Z298" s="6"/>
    </row>
    <row r="299" ht="15.0" customHeight="1">
      <c r="A299" s="7" t="s">
        <v>1617</v>
      </c>
      <c r="B299" s="7" t="s">
        <v>1618</v>
      </c>
      <c r="C299" s="7" t="s">
        <v>1619</v>
      </c>
      <c r="D299" s="7" t="s">
        <v>210</v>
      </c>
      <c r="E299" s="7" t="s">
        <v>194</v>
      </c>
      <c r="F299" s="7" t="s">
        <v>92</v>
      </c>
      <c r="G299" s="7" t="s">
        <v>55</v>
      </c>
      <c r="H299" s="7" t="s">
        <v>55</v>
      </c>
      <c r="I299" s="7" t="s">
        <v>55</v>
      </c>
      <c r="J299" s="7" t="s">
        <v>55</v>
      </c>
      <c r="K299" s="7"/>
      <c r="L299" s="14" t="str">
        <f t="shared" si="1"/>
        <v>Sim</v>
      </c>
      <c r="M299" s="7"/>
      <c r="N299" s="7"/>
      <c r="O299" s="7" t="s">
        <v>55</v>
      </c>
      <c r="P299" s="7"/>
      <c r="Q299" s="16" t="s">
        <v>55</v>
      </c>
      <c r="R299" s="16" t="s">
        <v>55</v>
      </c>
      <c r="S299" s="16" t="s">
        <v>55</v>
      </c>
      <c r="T299" s="16" t="s">
        <v>55</v>
      </c>
      <c r="U299" s="16" t="s">
        <v>55</v>
      </c>
      <c r="V299" s="16" t="s">
        <v>1577</v>
      </c>
      <c r="W299" s="16"/>
      <c r="X299" s="6"/>
      <c r="Y299" s="6"/>
      <c r="Z299" s="6"/>
    </row>
    <row r="300" ht="15.0" customHeight="1">
      <c r="A300" s="7" t="s">
        <v>1621</v>
      </c>
      <c r="B300" s="7" t="s">
        <v>1622</v>
      </c>
      <c r="C300" s="7" t="s">
        <v>1623</v>
      </c>
      <c r="D300" s="7" t="s">
        <v>210</v>
      </c>
      <c r="E300" s="7" t="s">
        <v>85</v>
      </c>
      <c r="F300" s="7" t="s">
        <v>92</v>
      </c>
      <c r="G300" s="7" t="s">
        <v>55</v>
      </c>
      <c r="H300" s="7" t="s">
        <v>55</v>
      </c>
      <c r="I300" s="7" t="s">
        <v>55</v>
      </c>
      <c r="J300" s="7" t="s">
        <v>55</v>
      </c>
      <c r="K300" s="7"/>
      <c r="L300" s="14" t="str">
        <f t="shared" si="1"/>
        <v>Sim</v>
      </c>
      <c r="M300" s="7"/>
      <c r="N300" s="7"/>
      <c r="O300" s="7" t="s">
        <v>55</v>
      </c>
      <c r="P300" s="7"/>
      <c r="Q300" s="16" t="s">
        <v>55</v>
      </c>
      <c r="R300" s="16" t="s">
        <v>55</v>
      </c>
      <c r="S300" s="16" t="s">
        <v>55</v>
      </c>
      <c r="T300" s="16" t="s">
        <v>55</v>
      </c>
      <c r="U300" s="16" t="s">
        <v>55</v>
      </c>
      <c r="V300" s="16" t="s">
        <v>1577</v>
      </c>
      <c r="W300" s="16"/>
      <c r="X300" s="6"/>
      <c r="Y300" s="6"/>
      <c r="Z300" s="6"/>
    </row>
    <row r="301" ht="15.0" customHeight="1">
      <c r="A301" s="7" t="s">
        <v>1624</v>
      </c>
      <c r="B301" s="7" t="s">
        <v>1625</v>
      </c>
      <c r="C301" s="7" t="s">
        <v>1626</v>
      </c>
      <c r="D301" s="7" t="s">
        <v>210</v>
      </c>
      <c r="E301" s="7" t="s">
        <v>80</v>
      </c>
      <c r="F301" s="7" t="s">
        <v>92</v>
      </c>
      <c r="G301" s="7" t="s">
        <v>55</v>
      </c>
      <c r="H301" s="7" t="s">
        <v>55</v>
      </c>
      <c r="I301" s="7" t="s">
        <v>55</v>
      </c>
      <c r="J301" s="7" t="s">
        <v>55</v>
      </c>
      <c r="K301" s="7"/>
      <c r="L301" s="14" t="str">
        <f t="shared" si="1"/>
        <v>Sim</v>
      </c>
      <c r="M301" s="7"/>
      <c r="N301" s="7"/>
      <c r="O301" s="7" t="s">
        <v>55</v>
      </c>
      <c r="P301" s="7"/>
      <c r="Q301" s="16" t="s">
        <v>55</v>
      </c>
      <c r="R301" s="16" t="s">
        <v>55</v>
      </c>
      <c r="S301" s="16" t="s">
        <v>55</v>
      </c>
      <c r="T301" s="16" t="s">
        <v>55</v>
      </c>
      <c r="U301" s="16" t="s">
        <v>55</v>
      </c>
      <c r="V301" s="16" t="s">
        <v>1577</v>
      </c>
      <c r="W301" s="16"/>
      <c r="X301" s="6"/>
      <c r="Y301" s="6"/>
      <c r="Z301" s="6"/>
    </row>
    <row r="302" ht="15.0" customHeight="1">
      <c r="A302" s="7" t="s">
        <v>1627</v>
      </c>
      <c r="B302" s="7" t="s">
        <v>1628</v>
      </c>
      <c r="C302" s="7" t="s">
        <v>1629</v>
      </c>
      <c r="D302" s="7" t="s">
        <v>210</v>
      </c>
      <c r="E302" s="7" t="s">
        <v>80</v>
      </c>
      <c r="F302" s="7" t="s">
        <v>92</v>
      </c>
      <c r="G302" s="7" t="s">
        <v>55</v>
      </c>
      <c r="H302" s="7" t="s">
        <v>55</v>
      </c>
      <c r="I302" s="7" t="s">
        <v>55</v>
      </c>
      <c r="J302" s="7" t="s">
        <v>55</v>
      </c>
      <c r="K302" s="7"/>
      <c r="L302" s="14" t="str">
        <f t="shared" si="1"/>
        <v>Sim</v>
      </c>
      <c r="M302" s="7"/>
      <c r="N302" s="7"/>
      <c r="O302" s="7" t="s">
        <v>55</v>
      </c>
      <c r="P302" s="7"/>
      <c r="Q302" s="16" t="s">
        <v>55</v>
      </c>
      <c r="R302" s="16" t="s">
        <v>55</v>
      </c>
      <c r="S302" s="16" t="s">
        <v>55</v>
      </c>
      <c r="T302" s="16" t="s">
        <v>55</v>
      </c>
      <c r="U302" s="16" t="s">
        <v>55</v>
      </c>
      <c r="V302" s="16" t="s">
        <v>1577</v>
      </c>
      <c r="W302" s="16"/>
      <c r="X302" s="6"/>
      <c r="Y302" s="6"/>
      <c r="Z302" s="6"/>
    </row>
    <row r="303" ht="15.0" customHeight="1">
      <c r="A303" s="7" t="s">
        <v>1630</v>
      </c>
      <c r="B303" s="7" t="s">
        <v>1631</v>
      </c>
      <c r="C303" s="7" t="s">
        <v>1632</v>
      </c>
      <c r="D303" s="7" t="s">
        <v>210</v>
      </c>
      <c r="E303" s="7" t="s">
        <v>80</v>
      </c>
      <c r="F303" s="7" t="s">
        <v>92</v>
      </c>
      <c r="G303" s="7" t="s">
        <v>55</v>
      </c>
      <c r="H303" s="7" t="s">
        <v>55</v>
      </c>
      <c r="I303" s="7" t="s">
        <v>55</v>
      </c>
      <c r="J303" s="7" t="s">
        <v>55</v>
      </c>
      <c r="K303" s="7"/>
      <c r="L303" s="14" t="str">
        <f t="shared" si="1"/>
        <v>Sim</v>
      </c>
      <c r="M303" s="7"/>
      <c r="N303" s="7"/>
      <c r="O303" s="7" t="s">
        <v>55</v>
      </c>
      <c r="P303" s="7"/>
      <c r="Q303" s="16" t="s">
        <v>55</v>
      </c>
      <c r="R303" s="16" t="s">
        <v>55</v>
      </c>
      <c r="S303" s="16" t="s">
        <v>55</v>
      </c>
      <c r="T303" s="16" t="s">
        <v>55</v>
      </c>
      <c r="U303" s="16" t="s">
        <v>55</v>
      </c>
      <c r="V303" s="16" t="s">
        <v>1577</v>
      </c>
      <c r="W303" s="16"/>
      <c r="X303" s="6"/>
      <c r="Y303" s="6"/>
      <c r="Z303" s="6"/>
    </row>
    <row r="304" ht="15.0" customHeight="1">
      <c r="A304" s="7" t="s">
        <v>1633</v>
      </c>
      <c r="B304" s="7" t="s">
        <v>1634</v>
      </c>
      <c r="C304" s="7" t="s">
        <v>1635</v>
      </c>
      <c r="D304" s="7" t="s">
        <v>210</v>
      </c>
      <c r="E304" s="7" t="s">
        <v>85</v>
      </c>
      <c r="F304" s="7" t="s">
        <v>92</v>
      </c>
      <c r="G304" s="7" t="s">
        <v>55</v>
      </c>
      <c r="H304" s="7" t="s">
        <v>55</v>
      </c>
      <c r="I304" s="7" t="s">
        <v>55</v>
      </c>
      <c r="J304" s="7" t="s">
        <v>55</v>
      </c>
      <c r="K304" s="7"/>
      <c r="L304" s="14" t="str">
        <f t="shared" si="1"/>
        <v>Sim</v>
      </c>
      <c r="M304" s="7"/>
      <c r="N304" s="7"/>
      <c r="O304" s="7" t="s">
        <v>55</v>
      </c>
      <c r="P304" s="7"/>
      <c r="Q304" s="16" t="s">
        <v>55</v>
      </c>
      <c r="R304" s="16" t="s">
        <v>55</v>
      </c>
      <c r="S304" s="16" t="s">
        <v>55</v>
      </c>
      <c r="T304" s="16" t="s">
        <v>55</v>
      </c>
      <c r="U304" s="16" t="s">
        <v>55</v>
      </c>
      <c r="V304" s="16" t="s">
        <v>1577</v>
      </c>
      <c r="W304" s="16"/>
      <c r="X304" s="6"/>
      <c r="Y304" s="6"/>
      <c r="Z304" s="6"/>
    </row>
    <row r="305" ht="30.0" customHeight="1">
      <c r="A305" s="7" t="s">
        <v>1636</v>
      </c>
      <c r="B305" s="7" t="s">
        <v>1637</v>
      </c>
      <c r="C305" s="7" t="s">
        <v>1638</v>
      </c>
      <c r="D305" s="7" t="s">
        <v>210</v>
      </c>
      <c r="E305" s="7" t="s">
        <v>291</v>
      </c>
      <c r="F305" s="7" t="s">
        <v>92</v>
      </c>
      <c r="G305" s="7" t="s">
        <v>55</v>
      </c>
      <c r="H305" s="7" t="s">
        <v>55</v>
      </c>
      <c r="I305" s="7" t="s">
        <v>55</v>
      </c>
      <c r="J305" s="7" t="s">
        <v>55</v>
      </c>
      <c r="K305" s="11" t="s">
        <v>1639</v>
      </c>
      <c r="L305" s="14" t="str">
        <f t="shared" si="1"/>
        <v>Não</v>
      </c>
      <c r="M305" s="7"/>
      <c r="N305" s="7"/>
      <c r="O305" s="7" t="s">
        <v>55</v>
      </c>
      <c r="P305" s="7"/>
      <c r="Q305" s="16" t="s">
        <v>55</v>
      </c>
      <c r="R305" s="16" t="s">
        <v>55</v>
      </c>
      <c r="S305" s="16" t="s">
        <v>55</v>
      </c>
      <c r="T305" s="16" t="s">
        <v>55</v>
      </c>
      <c r="U305" s="16" t="s">
        <v>55</v>
      </c>
      <c r="V305" s="16" t="s">
        <v>184</v>
      </c>
      <c r="W305" s="16" t="s">
        <v>1640</v>
      </c>
      <c r="X305" s="6"/>
      <c r="Y305" s="6"/>
      <c r="Z305" s="6"/>
    </row>
    <row r="306" ht="29.25" customHeight="1">
      <c r="A306" s="7" t="s">
        <v>1641</v>
      </c>
      <c r="B306" s="7" t="s">
        <v>1642</v>
      </c>
      <c r="C306" s="7" t="s">
        <v>1643</v>
      </c>
      <c r="D306" s="7" t="s">
        <v>210</v>
      </c>
      <c r="E306" s="7" t="s">
        <v>291</v>
      </c>
      <c r="F306" s="7" t="s">
        <v>92</v>
      </c>
      <c r="G306" s="7" t="s">
        <v>55</v>
      </c>
      <c r="H306" s="7" t="s">
        <v>55</v>
      </c>
      <c r="I306" s="7" t="s">
        <v>55</v>
      </c>
      <c r="J306" s="7" t="s">
        <v>55</v>
      </c>
      <c r="K306" s="11" t="s">
        <v>1644</v>
      </c>
      <c r="L306" s="14" t="str">
        <f t="shared" si="1"/>
        <v>Não</v>
      </c>
      <c r="M306" s="7"/>
      <c r="N306" s="7"/>
      <c r="O306" s="7" t="s">
        <v>55</v>
      </c>
      <c r="P306" s="7"/>
      <c r="Q306" s="16" t="s">
        <v>55</v>
      </c>
      <c r="R306" s="16" t="s">
        <v>55</v>
      </c>
      <c r="S306" s="16" t="s">
        <v>55</v>
      </c>
      <c r="T306" s="16" t="s">
        <v>55</v>
      </c>
      <c r="U306" s="16" t="s">
        <v>55</v>
      </c>
      <c r="V306" s="16" t="s">
        <v>184</v>
      </c>
      <c r="W306" s="16" t="s">
        <v>1645</v>
      </c>
      <c r="X306" s="6"/>
      <c r="Y306" s="6"/>
      <c r="Z306" s="6"/>
    </row>
    <row r="307" ht="27.75" customHeight="1">
      <c r="A307" s="7" t="s">
        <v>1646</v>
      </c>
      <c r="B307" s="7" t="s">
        <v>1647</v>
      </c>
      <c r="C307" s="7" t="s">
        <v>1648</v>
      </c>
      <c r="D307" s="7" t="s">
        <v>210</v>
      </c>
      <c r="E307" s="7" t="s">
        <v>291</v>
      </c>
      <c r="F307" s="7" t="s">
        <v>92</v>
      </c>
      <c r="G307" s="7" t="s">
        <v>55</v>
      </c>
      <c r="H307" s="7" t="s">
        <v>55</v>
      </c>
      <c r="I307" s="7" t="s">
        <v>55</v>
      </c>
      <c r="J307" s="7" t="s">
        <v>55</v>
      </c>
      <c r="K307" s="11" t="s">
        <v>1649</v>
      </c>
      <c r="L307" s="14" t="str">
        <f t="shared" si="1"/>
        <v>Não</v>
      </c>
      <c r="M307" s="7"/>
      <c r="N307" s="7"/>
      <c r="O307" s="7" t="s">
        <v>55</v>
      </c>
      <c r="P307" s="7"/>
      <c r="Q307" s="16" t="s">
        <v>55</v>
      </c>
      <c r="R307" s="16" t="s">
        <v>55</v>
      </c>
      <c r="S307" s="16" t="s">
        <v>55</v>
      </c>
      <c r="T307" s="16" t="s">
        <v>55</v>
      </c>
      <c r="U307" s="16" t="s">
        <v>55</v>
      </c>
      <c r="V307" s="16" t="s">
        <v>184</v>
      </c>
      <c r="W307" s="16" t="s">
        <v>1650</v>
      </c>
      <c r="X307" s="6"/>
      <c r="Y307" s="6"/>
      <c r="Z307" s="6"/>
    </row>
    <row r="308" ht="28.5" customHeight="1">
      <c r="A308" s="7" t="s">
        <v>1651</v>
      </c>
      <c r="B308" s="7" t="s">
        <v>1652</v>
      </c>
      <c r="C308" s="7" t="s">
        <v>1653</v>
      </c>
      <c r="D308" s="7" t="s">
        <v>210</v>
      </c>
      <c r="E308" s="7" t="s">
        <v>291</v>
      </c>
      <c r="F308" s="7" t="s">
        <v>92</v>
      </c>
      <c r="G308" s="7" t="s">
        <v>55</v>
      </c>
      <c r="H308" s="7" t="s">
        <v>55</v>
      </c>
      <c r="I308" s="7" t="s">
        <v>55</v>
      </c>
      <c r="J308" s="7" t="s">
        <v>55</v>
      </c>
      <c r="K308" s="11" t="s">
        <v>1655</v>
      </c>
      <c r="L308" s="14" t="str">
        <f t="shared" si="1"/>
        <v>Não</v>
      </c>
      <c r="M308" s="7"/>
      <c r="N308" s="7"/>
      <c r="O308" s="7" t="s">
        <v>55</v>
      </c>
      <c r="P308" s="7"/>
      <c r="Q308" s="16" t="s">
        <v>55</v>
      </c>
      <c r="R308" s="16" t="s">
        <v>55</v>
      </c>
      <c r="S308" s="16" t="s">
        <v>55</v>
      </c>
      <c r="T308" s="16" t="s">
        <v>55</v>
      </c>
      <c r="U308" s="16" t="s">
        <v>55</v>
      </c>
      <c r="V308" s="16" t="s">
        <v>184</v>
      </c>
      <c r="W308" s="16" t="s">
        <v>1657</v>
      </c>
      <c r="X308" s="6"/>
      <c r="Y308" s="6"/>
      <c r="Z308" s="6"/>
    </row>
    <row r="309" ht="30.0" customHeight="1">
      <c r="A309" s="7" t="s">
        <v>1658</v>
      </c>
      <c r="B309" s="7" t="s">
        <v>1659</v>
      </c>
      <c r="C309" s="7" t="s">
        <v>1661</v>
      </c>
      <c r="D309" s="7" t="s">
        <v>210</v>
      </c>
      <c r="E309" s="7" t="s">
        <v>291</v>
      </c>
      <c r="F309" s="7" t="s">
        <v>92</v>
      </c>
      <c r="G309" s="7" t="s">
        <v>55</v>
      </c>
      <c r="H309" s="7" t="s">
        <v>55</v>
      </c>
      <c r="I309" s="7" t="s">
        <v>55</v>
      </c>
      <c r="J309" s="7" t="s">
        <v>55</v>
      </c>
      <c r="K309" s="11" t="s">
        <v>1662</v>
      </c>
      <c r="L309" s="14" t="str">
        <f t="shared" si="1"/>
        <v>Não</v>
      </c>
      <c r="M309" s="7"/>
      <c r="N309" s="7"/>
      <c r="O309" s="7" t="s">
        <v>55</v>
      </c>
      <c r="P309" s="7"/>
      <c r="Q309" s="16" t="s">
        <v>55</v>
      </c>
      <c r="R309" s="16" t="s">
        <v>55</v>
      </c>
      <c r="S309" s="16" t="s">
        <v>55</v>
      </c>
      <c r="T309" s="16" t="s">
        <v>55</v>
      </c>
      <c r="U309" s="16" t="s">
        <v>55</v>
      </c>
      <c r="V309" s="16" t="s">
        <v>184</v>
      </c>
      <c r="W309" s="16" t="s">
        <v>1665</v>
      </c>
      <c r="X309" s="6"/>
      <c r="Y309" s="6"/>
      <c r="Z309" s="6"/>
    </row>
    <row r="310" ht="29.25" customHeight="1">
      <c r="A310" s="7" t="s">
        <v>1666</v>
      </c>
      <c r="B310" s="7" t="s">
        <v>1667</v>
      </c>
      <c r="C310" s="7" t="s">
        <v>1668</v>
      </c>
      <c r="D310" s="7" t="s">
        <v>210</v>
      </c>
      <c r="E310" s="7" t="s">
        <v>291</v>
      </c>
      <c r="F310" s="7" t="s">
        <v>92</v>
      </c>
      <c r="G310" s="7" t="s">
        <v>55</v>
      </c>
      <c r="H310" s="7" t="s">
        <v>55</v>
      </c>
      <c r="I310" s="7" t="s">
        <v>55</v>
      </c>
      <c r="J310" s="7" t="s">
        <v>55</v>
      </c>
      <c r="K310" s="11" t="s">
        <v>1669</v>
      </c>
      <c r="L310" s="14" t="str">
        <f t="shared" si="1"/>
        <v>Não</v>
      </c>
      <c r="M310" s="7"/>
      <c r="N310" s="7"/>
      <c r="O310" s="7" t="s">
        <v>55</v>
      </c>
      <c r="P310" s="7"/>
      <c r="Q310" s="16" t="s">
        <v>55</v>
      </c>
      <c r="R310" s="16" t="s">
        <v>55</v>
      </c>
      <c r="S310" s="16" t="s">
        <v>55</v>
      </c>
      <c r="T310" s="16" t="s">
        <v>55</v>
      </c>
      <c r="U310" s="16" t="s">
        <v>55</v>
      </c>
      <c r="V310" s="16" t="s">
        <v>184</v>
      </c>
      <c r="W310" s="16" t="s">
        <v>1670</v>
      </c>
      <c r="X310" s="6"/>
      <c r="Y310" s="6"/>
      <c r="Z310" s="6"/>
    </row>
    <row r="311" ht="28.5" customHeight="1">
      <c r="A311" s="7" t="s">
        <v>1671</v>
      </c>
      <c r="B311" s="7" t="s">
        <v>1672</v>
      </c>
      <c r="C311" s="7" t="s">
        <v>1673</v>
      </c>
      <c r="D311" s="7" t="s">
        <v>210</v>
      </c>
      <c r="E311" s="7" t="s">
        <v>291</v>
      </c>
      <c r="F311" s="7" t="s">
        <v>92</v>
      </c>
      <c r="G311" s="7" t="s">
        <v>55</v>
      </c>
      <c r="H311" s="7" t="s">
        <v>55</v>
      </c>
      <c r="I311" s="7" t="s">
        <v>55</v>
      </c>
      <c r="J311" s="7" t="s">
        <v>55</v>
      </c>
      <c r="K311" s="11" t="s">
        <v>1674</v>
      </c>
      <c r="L311" s="14" t="str">
        <f t="shared" si="1"/>
        <v>Não</v>
      </c>
      <c r="M311" s="7"/>
      <c r="N311" s="7"/>
      <c r="O311" s="7" t="s">
        <v>55</v>
      </c>
      <c r="P311" s="7"/>
      <c r="Q311" s="16" t="s">
        <v>55</v>
      </c>
      <c r="R311" s="16" t="s">
        <v>55</v>
      </c>
      <c r="S311" s="16" t="s">
        <v>55</v>
      </c>
      <c r="T311" s="16" t="s">
        <v>55</v>
      </c>
      <c r="U311" s="16" t="s">
        <v>55</v>
      </c>
      <c r="V311" s="16" t="s">
        <v>184</v>
      </c>
      <c r="W311" s="16" t="s">
        <v>1676</v>
      </c>
      <c r="X311" s="6"/>
      <c r="Y311" s="6"/>
      <c r="Z311" s="6"/>
    </row>
    <row r="312" ht="27.0" customHeight="1">
      <c r="A312" s="7" t="s">
        <v>1678</v>
      </c>
      <c r="B312" s="7" t="s">
        <v>1679</v>
      </c>
      <c r="C312" s="7" t="s">
        <v>1680</v>
      </c>
      <c r="D312" s="7" t="s">
        <v>210</v>
      </c>
      <c r="E312" s="7" t="s">
        <v>291</v>
      </c>
      <c r="F312" s="7" t="s">
        <v>92</v>
      </c>
      <c r="G312" s="7" t="s">
        <v>55</v>
      </c>
      <c r="H312" s="7" t="s">
        <v>55</v>
      </c>
      <c r="I312" s="7" t="s">
        <v>55</v>
      </c>
      <c r="J312" s="7" t="s">
        <v>55</v>
      </c>
      <c r="K312" s="11" t="s">
        <v>1674</v>
      </c>
      <c r="L312" s="14" t="str">
        <f t="shared" si="1"/>
        <v>Não</v>
      </c>
      <c r="M312" s="7"/>
      <c r="N312" s="7"/>
      <c r="O312" s="7" t="s">
        <v>55</v>
      </c>
      <c r="P312" s="7"/>
      <c r="Q312" s="16" t="s">
        <v>55</v>
      </c>
      <c r="R312" s="16" t="s">
        <v>55</v>
      </c>
      <c r="S312" s="16" t="s">
        <v>55</v>
      </c>
      <c r="T312" s="16" t="s">
        <v>55</v>
      </c>
      <c r="U312" s="16" t="s">
        <v>55</v>
      </c>
      <c r="V312" s="16" t="s">
        <v>184</v>
      </c>
      <c r="W312" s="16" t="s">
        <v>1681</v>
      </c>
      <c r="X312" s="6"/>
      <c r="Y312" s="6"/>
      <c r="Z312" s="6"/>
    </row>
    <row r="313" ht="27.75" customHeight="1">
      <c r="A313" s="7" t="s">
        <v>1682</v>
      </c>
      <c r="B313" s="7" t="s">
        <v>1683</v>
      </c>
      <c r="C313" s="7" t="s">
        <v>1684</v>
      </c>
      <c r="D313" s="7" t="s">
        <v>210</v>
      </c>
      <c r="E313" s="7" t="s">
        <v>291</v>
      </c>
      <c r="F313" s="7" t="s">
        <v>92</v>
      </c>
      <c r="G313" s="7" t="s">
        <v>55</v>
      </c>
      <c r="H313" s="7" t="s">
        <v>55</v>
      </c>
      <c r="I313" s="7" t="s">
        <v>55</v>
      </c>
      <c r="J313" s="7" t="s">
        <v>55</v>
      </c>
      <c r="K313" s="11" t="s">
        <v>1685</v>
      </c>
      <c r="L313" s="14" t="str">
        <f t="shared" si="1"/>
        <v>Não</v>
      </c>
      <c r="M313" s="7"/>
      <c r="N313" s="7"/>
      <c r="O313" s="7" t="s">
        <v>55</v>
      </c>
      <c r="P313" s="7"/>
      <c r="Q313" s="16" t="s">
        <v>55</v>
      </c>
      <c r="R313" s="16" t="s">
        <v>55</v>
      </c>
      <c r="S313" s="16" t="s">
        <v>55</v>
      </c>
      <c r="T313" s="16" t="s">
        <v>55</v>
      </c>
      <c r="U313" s="16" t="s">
        <v>55</v>
      </c>
      <c r="V313" s="16" t="s">
        <v>184</v>
      </c>
      <c r="W313" s="16" t="s">
        <v>1686</v>
      </c>
      <c r="X313" s="6"/>
      <c r="Y313" s="6"/>
      <c r="Z313" s="6"/>
    </row>
    <row r="314" ht="15.0" customHeight="1">
      <c r="A314" s="7" t="s">
        <v>1687</v>
      </c>
      <c r="B314" s="7" t="s">
        <v>1688</v>
      </c>
      <c r="C314" s="7" t="s">
        <v>1689</v>
      </c>
      <c r="D314" s="7" t="s">
        <v>210</v>
      </c>
      <c r="E314" s="7" t="s">
        <v>286</v>
      </c>
      <c r="F314" s="7" t="s">
        <v>92</v>
      </c>
      <c r="G314" s="7" t="s">
        <v>55</v>
      </c>
      <c r="H314" s="7" t="s">
        <v>57</v>
      </c>
      <c r="I314" s="7" t="s">
        <v>57</v>
      </c>
      <c r="J314" s="7" t="s">
        <v>55</v>
      </c>
      <c r="K314" s="7"/>
      <c r="L314" s="14" t="str">
        <f t="shared" si="1"/>
        <v>Não</v>
      </c>
      <c r="M314" s="7"/>
      <c r="N314" s="7"/>
      <c r="O314" s="7" t="s">
        <v>55</v>
      </c>
      <c r="P314" s="7"/>
      <c r="Q314" s="16" t="s">
        <v>55</v>
      </c>
      <c r="R314" s="16" t="s">
        <v>57</v>
      </c>
      <c r="S314" s="16" t="s">
        <v>57</v>
      </c>
      <c r="T314" s="16" t="s">
        <v>55</v>
      </c>
      <c r="U314" s="16" t="s">
        <v>57</v>
      </c>
      <c r="V314" s="16" t="s">
        <v>99</v>
      </c>
      <c r="W314" s="16"/>
      <c r="X314" s="6"/>
      <c r="Y314" s="6"/>
      <c r="Z314" s="6"/>
    </row>
    <row r="315" ht="15.0" customHeight="1">
      <c r="A315" s="7" t="s">
        <v>1690</v>
      </c>
      <c r="B315" s="7" t="s">
        <v>1691</v>
      </c>
      <c r="C315" s="7" t="s">
        <v>1692</v>
      </c>
      <c r="D315" s="7" t="s">
        <v>210</v>
      </c>
      <c r="E315" s="7" t="s">
        <v>286</v>
      </c>
      <c r="F315" s="7" t="s">
        <v>92</v>
      </c>
      <c r="G315" s="7" t="s">
        <v>57</v>
      </c>
      <c r="H315" s="7" t="s">
        <v>55</v>
      </c>
      <c r="I315" s="7" t="s">
        <v>55</v>
      </c>
      <c r="J315" s="7" t="s">
        <v>55</v>
      </c>
      <c r="K315" s="7"/>
      <c r="L315" s="14" t="str">
        <f t="shared" si="1"/>
        <v>Não</v>
      </c>
      <c r="M315" s="7"/>
      <c r="N315" s="7"/>
      <c r="O315" s="7" t="s">
        <v>55</v>
      </c>
      <c r="P315" s="7"/>
      <c r="Q315" s="16" t="s">
        <v>57</v>
      </c>
      <c r="R315" s="16" t="s">
        <v>55</v>
      </c>
      <c r="S315" s="16" t="s">
        <v>55</v>
      </c>
      <c r="T315" s="16" t="s">
        <v>55</v>
      </c>
      <c r="U315" s="16" t="s">
        <v>57</v>
      </c>
      <c r="V315" s="16" t="s">
        <v>1440</v>
      </c>
      <c r="W315" s="16"/>
      <c r="X315" s="6"/>
      <c r="Y315" s="6"/>
      <c r="Z315" s="6"/>
    </row>
    <row r="316" ht="15.0" customHeight="1">
      <c r="A316" s="7" t="s">
        <v>1693</v>
      </c>
      <c r="B316" s="7" t="s">
        <v>1694</v>
      </c>
      <c r="C316" s="7" t="s">
        <v>1695</v>
      </c>
      <c r="D316" s="7" t="s">
        <v>210</v>
      </c>
      <c r="E316" s="7" t="s">
        <v>286</v>
      </c>
      <c r="F316" s="7" t="s">
        <v>92</v>
      </c>
      <c r="G316" s="7" t="s">
        <v>55</v>
      </c>
      <c r="H316" s="7" t="s">
        <v>55</v>
      </c>
      <c r="I316" s="7" t="s">
        <v>55</v>
      </c>
      <c r="J316" s="7" t="s">
        <v>55</v>
      </c>
      <c r="K316" s="7"/>
      <c r="L316" s="14" t="str">
        <f t="shared" si="1"/>
        <v>Sim</v>
      </c>
      <c r="M316" s="7"/>
      <c r="N316" s="7"/>
      <c r="O316" s="7" t="s">
        <v>55</v>
      </c>
      <c r="P316" s="7"/>
      <c r="Q316" s="16" t="s">
        <v>55</v>
      </c>
      <c r="R316" s="16" t="s">
        <v>55</v>
      </c>
      <c r="S316" s="16" t="s">
        <v>55</v>
      </c>
      <c r="T316" s="16" t="s">
        <v>55</v>
      </c>
      <c r="U316" s="16" t="s">
        <v>55</v>
      </c>
      <c r="V316" s="16" t="s">
        <v>127</v>
      </c>
      <c r="W316" s="16"/>
      <c r="X316" s="6"/>
      <c r="Y316" s="6"/>
      <c r="Z316" s="6"/>
    </row>
    <row r="317" ht="15.0" customHeight="1">
      <c r="A317" s="7" t="s">
        <v>1696</v>
      </c>
      <c r="B317" s="7" t="s">
        <v>1697</v>
      </c>
      <c r="C317" s="7" t="s">
        <v>1698</v>
      </c>
      <c r="D317" s="7" t="s">
        <v>210</v>
      </c>
      <c r="E317" s="7" t="s">
        <v>286</v>
      </c>
      <c r="F317" s="7" t="s">
        <v>92</v>
      </c>
      <c r="G317" s="7" t="s">
        <v>57</v>
      </c>
      <c r="H317" s="7" t="s">
        <v>55</v>
      </c>
      <c r="I317" s="7" t="s">
        <v>55</v>
      </c>
      <c r="J317" s="7" t="s">
        <v>55</v>
      </c>
      <c r="K317" s="7"/>
      <c r="L317" s="14" t="str">
        <f t="shared" si="1"/>
        <v>Não</v>
      </c>
      <c r="M317" s="7"/>
      <c r="N317" s="7"/>
      <c r="O317" s="7" t="s">
        <v>55</v>
      </c>
      <c r="P317" s="7"/>
      <c r="Q317" s="16" t="s">
        <v>57</v>
      </c>
      <c r="R317" s="16" t="s">
        <v>55</v>
      </c>
      <c r="S317" s="16" t="s">
        <v>55</v>
      </c>
      <c r="T317" s="16" t="s">
        <v>55</v>
      </c>
      <c r="U317" s="16" t="s">
        <v>57</v>
      </c>
      <c r="V317" s="16" t="s">
        <v>1440</v>
      </c>
      <c r="W317" s="16"/>
      <c r="X317" s="6"/>
      <c r="Y317" s="6"/>
      <c r="Z317" s="6"/>
    </row>
    <row r="318" ht="15.0" customHeight="1">
      <c r="A318" s="7" t="s">
        <v>1699</v>
      </c>
      <c r="B318" s="7" t="s">
        <v>1700</v>
      </c>
      <c r="C318" s="7" t="s">
        <v>1701</v>
      </c>
      <c r="D318" s="7" t="s">
        <v>210</v>
      </c>
      <c r="E318" s="7" t="s">
        <v>220</v>
      </c>
      <c r="F318" s="7" t="s">
        <v>92</v>
      </c>
      <c r="G318" s="7" t="s">
        <v>57</v>
      </c>
      <c r="H318" s="7" t="s">
        <v>55</v>
      </c>
      <c r="I318" s="7" t="s">
        <v>55</v>
      </c>
      <c r="J318" s="7" t="s">
        <v>55</v>
      </c>
      <c r="K318" s="7"/>
      <c r="L318" s="14" t="str">
        <f t="shared" si="1"/>
        <v>Não</v>
      </c>
      <c r="M318" s="7"/>
      <c r="N318" s="7"/>
      <c r="O318" s="7" t="s">
        <v>55</v>
      </c>
      <c r="P318" s="7"/>
      <c r="Q318" s="16" t="s">
        <v>57</v>
      </c>
      <c r="R318" s="16" t="s">
        <v>55</v>
      </c>
      <c r="S318" s="16" t="s">
        <v>55</v>
      </c>
      <c r="T318" s="16" t="s">
        <v>55</v>
      </c>
      <c r="U318" s="16" t="s">
        <v>57</v>
      </c>
      <c r="V318" s="16" t="s">
        <v>621</v>
      </c>
      <c r="W318" s="16"/>
      <c r="X318" s="6"/>
      <c r="Y318" s="6"/>
      <c r="Z318" s="6"/>
    </row>
    <row r="319" ht="15.0" customHeight="1">
      <c r="A319" s="7" t="s">
        <v>1702</v>
      </c>
      <c r="B319" s="7" t="s">
        <v>1703</v>
      </c>
      <c r="C319" s="7" t="s">
        <v>1704</v>
      </c>
      <c r="D319" s="7" t="s">
        <v>210</v>
      </c>
      <c r="E319" s="7" t="s">
        <v>220</v>
      </c>
      <c r="F319" s="7" t="s">
        <v>92</v>
      </c>
      <c r="G319" s="7" t="s">
        <v>57</v>
      </c>
      <c r="H319" s="7" t="s">
        <v>55</v>
      </c>
      <c r="I319" s="7" t="s">
        <v>55</v>
      </c>
      <c r="J319" s="7" t="s">
        <v>55</v>
      </c>
      <c r="K319" s="7"/>
      <c r="L319" s="14" t="str">
        <f t="shared" si="1"/>
        <v>Não</v>
      </c>
      <c r="M319" s="7"/>
      <c r="N319" s="7"/>
      <c r="O319" s="7" t="s">
        <v>55</v>
      </c>
      <c r="P319" s="7"/>
      <c r="Q319" s="16" t="s">
        <v>57</v>
      </c>
      <c r="R319" s="16" t="s">
        <v>55</v>
      </c>
      <c r="S319" s="16" t="s">
        <v>55</v>
      </c>
      <c r="T319" s="16" t="s">
        <v>55</v>
      </c>
      <c r="U319" s="16" t="s">
        <v>57</v>
      </c>
      <c r="V319" s="16" t="s">
        <v>225</v>
      </c>
      <c r="W319" s="16"/>
      <c r="X319" s="6"/>
      <c r="Y319" s="6"/>
      <c r="Z319" s="6"/>
    </row>
    <row r="320" ht="15.0" customHeight="1">
      <c r="A320" s="7" t="s">
        <v>1705</v>
      </c>
      <c r="B320" s="7" t="s">
        <v>1706</v>
      </c>
      <c r="C320" s="7" t="s">
        <v>1707</v>
      </c>
      <c r="D320" s="7" t="s">
        <v>210</v>
      </c>
      <c r="E320" s="7" t="s">
        <v>220</v>
      </c>
      <c r="F320" s="7" t="s">
        <v>92</v>
      </c>
      <c r="G320" s="7" t="s">
        <v>57</v>
      </c>
      <c r="H320" s="7" t="s">
        <v>55</v>
      </c>
      <c r="I320" s="7" t="s">
        <v>55</v>
      </c>
      <c r="J320" s="7" t="s">
        <v>55</v>
      </c>
      <c r="K320" s="7"/>
      <c r="L320" s="14" t="str">
        <f t="shared" si="1"/>
        <v>Não</v>
      </c>
      <c r="M320" s="7"/>
      <c r="N320" s="7"/>
      <c r="O320" s="7" t="s">
        <v>55</v>
      </c>
      <c r="P320" s="7"/>
      <c r="Q320" s="16" t="s">
        <v>57</v>
      </c>
      <c r="R320" s="16" t="s">
        <v>55</v>
      </c>
      <c r="S320" s="16" t="s">
        <v>55</v>
      </c>
      <c r="T320" s="16" t="s">
        <v>55</v>
      </c>
      <c r="U320" s="16" t="s">
        <v>57</v>
      </c>
      <c r="V320" s="16" t="s">
        <v>225</v>
      </c>
      <c r="W320" s="16"/>
      <c r="X320" s="6"/>
      <c r="Y320" s="6"/>
      <c r="Z320" s="6"/>
    </row>
    <row r="321" ht="15.0" customHeight="1">
      <c r="A321" s="7" t="s">
        <v>1708</v>
      </c>
      <c r="B321" s="7" t="s">
        <v>1709</v>
      </c>
      <c r="C321" s="7" t="s">
        <v>1710</v>
      </c>
      <c r="D321" s="7" t="s">
        <v>210</v>
      </c>
      <c r="E321" s="7" t="s">
        <v>202</v>
      </c>
      <c r="F321" s="7" t="s">
        <v>92</v>
      </c>
      <c r="G321" s="7" t="s">
        <v>57</v>
      </c>
      <c r="H321" s="7" t="s">
        <v>55</v>
      </c>
      <c r="I321" s="7" t="s">
        <v>55</v>
      </c>
      <c r="J321" s="7" t="s">
        <v>55</v>
      </c>
      <c r="K321" s="7"/>
      <c r="L321" s="14" t="str">
        <f t="shared" si="1"/>
        <v>Não</v>
      </c>
      <c r="M321" s="7"/>
      <c r="N321" s="7"/>
      <c r="O321" s="7" t="s">
        <v>55</v>
      </c>
      <c r="P321" s="7"/>
      <c r="Q321" s="16" t="s">
        <v>57</v>
      </c>
      <c r="R321" s="16" t="s">
        <v>55</v>
      </c>
      <c r="S321" s="16" t="s">
        <v>55</v>
      </c>
      <c r="T321" s="16" t="s">
        <v>55</v>
      </c>
      <c r="U321" s="16" t="s">
        <v>57</v>
      </c>
      <c r="V321" s="16" t="s">
        <v>621</v>
      </c>
      <c r="W321" s="16"/>
      <c r="X321" s="6"/>
      <c r="Y321" s="6"/>
      <c r="Z321" s="6"/>
    </row>
    <row r="322" ht="15.0" customHeight="1">
      <c r="A322" s="7" t="s">
        <v>1714</v>
      </c>
      <c r="B322" s="7" t="s">
        <v>1715</v>
      </c>
      <c r="C322" s="7" t="s">
        <v>1716</v>
      </c>
      <c r="D322" s="7" t="s">
        <v>210</v>
      </c>
      <c r="E322" s="7" t="s">
        <v>138</v>
      </c>
      <c r="F322" s="7" t="s">
        <v>92</v>
      </c>
      <c r="G322" s="7" t="s">
        <v>57</v>
      </c>
      <c r="H322" s="7" t="s">
        <v>55</v>
      </c>
      <c r="I322" s="7" t="s">
        <v>55</v>
      </c>
      <c r="J322" s="7" t="s">
        <v>55</v>
      </c>
      <c r="K322" s="7"/>
      <c r="L322" s="14" t="str">
        <f t="shared" si="1"/>
        <v>Não</v>
      </c>
      <c r="M322" s="7"/>
      <c r="N322" s="7"/>
      <c r="O322" s="7" t="s">
        <v>55</v>
      </c>
      <c r="P322" s="7"/>
      <c r="Q322" s="16" t="s">
        <v>57</v>
      </c>
      <c r="R322" s="16" t="s">
        <v>55</v>
      </c>
      <c r="S322" s="16" t="s">
        <v>55</v>
      </c>
      <c r="T322" s="16" t="s">
        <v>55</v>
      </c>
      <c r="U322" s="16" t="s">
        <v>57</v>
      </c>
      <c r="V322" s="16" t="s">
        <v>621</v>
      </c>
      <c r="W322" s="16"/>
      <c r="X322" s="6"/>
      <c r="Y322" s="6"/>
      <c r="Z322" s="6"/>
    </row>
    <row r="323" ht="15.0" customHeight="1">
      <c r="A323" s="7" t="s">
        <v>1719</v>
      </c>
      <c r="B323" s="7" t="s">
        <v>1720</v>
      </c>
      <c r="C323" s="7" t="s">
        <v>1721</v>
      </c>
      <c r="D323" s="7" t="s">
        <v>210</v>
      </c>
      <c r="E323" s="7" t="s">
        <v>213</v>
      </c>
      <c r="F323" s="7" t="s">
        <v>92</v>
      </c>
      <c r="G323" s="7" t="s">
        <v>57</v>
      </c>
      <c r="H323" s="7" t="s">
        <v>55</v>
      </c>
      <c r="I323" s="7" t="s">
        <v>55</v>
      </c>
      <c r="J323" s="7" t="s">
        <v>55</v>
      </c>
      <c r="K323" s="7"/>
      <c r="L323" s="14" t="str">
        <f t="shared" si="1"/>
        <v>Não</v>
      </c>
      <c r="M323" s="7"/>
      <c r="N323" s="7"/>
      <c r="O323" s="7" t="s">
        <v>55</v>
      </c>
      <c r="P323" s="7"/>
      <c r="Q323" s="16" t="s">
        <v>57</v>
      </c>
      <c r="R323" s="16" t="s">
        <v>55</v>
      </c>
      <c r="S323" s="16" t="s">
        <v>55</v>
      </c>
      <c r="T323" s="16" t="s">
        <v>55</v>
      </c>
      <c r="U323" s="16" t="s">
        <v>57</v>
      </c>
      <c r="V323" s="16" t="s">
        <v>621</v>
      </c>
      <c r="W323" s="16"/>
      <c r="X323" s="6"/>
      <c r="Y323" s="6"/>
      <c r="Z323" s="6"/>
    </row>
    <row r="324" ht="15.0" customHeight="1">
      <c r="A324" s="7" t="s">
        <v>1722</v>
      </c>
      <c r="B324" s="7" t="s">
        <v>1723</v>
      </c>
      <c r="C324" s="7" t="s">
        <v>1724</v>
      </c>
      <c r="D324" s="7" t="s">
        <v>210</v>
      </c>
      <c r="E324" s="7" t="s">
        <v>202</v>
      </c>
      <c r="F324" s="7" t="s">
        <v>92</v>
      </c>
      <c r="G324" s="7" t="s">
        <v>57</v>
      </c>
      <c r="H324" s="7" t="s">
        <v>55</v>
      </c>
      <c r="I324" s="7" t="s">
        <v>55</v>
      </c>
      <c r="J324" s="7" t="s">
        <v>55</v>
      </c>
      <c r="K324" s="7"/>
      <c r="L324" s="14" t="str">
        <f t="shared" si="1"/>
        <v>Não</v>
      </c>
      <c r="M324" s="7"/>
      <c r="N324" s="7"/>
      <c r="O324" s="7" t="s">
        <v>55</v>
      </c>
      <c r="P324" s="7"/>
      <c r="Q324" s="16" t="s">
        <v>57</v>
      </c>
      <c r="R324" s="16" t="s">
        <v>55</v>
      </c>
      <c r="S324" s="16" t="s">
        <v>55</v>
      </c>
      <c r="T324" s="16" t="s">
        <v>55</v>
      </c>
      <c r="U324" s="16" t="s">
        <v>57</v>
      </c>
      <c r="V324" s="16" t="s">
        <v>621</v>
      </c>
      <c r="W324" s="16"/>
      <c r="X324" s="6"/>
      <c r="Y324" s="6"/>
      <c r="Z324" s="6"/>
    </row>
    <row r="325" ht="15.0" customHeight="1">
      <c r="A325" s="7" t="s">
        <v>1726</v>
      </c>
      <c r="B325" s="7" t="s">
        <v>1727</v>
      </c>
      <c r="C325" s="7" t="s">
        <v>1728</v>
      </c>
      <c r="D325" s="7" t="s">
        <v>210</v>
      </c>
      <c r="E325" s="7" t="s">
        <v>213</v>
      </c>
      <c r="F325" s="7" t="s">
        <v>92</v>
      </c>
      <c r="G325" s="7" t="s">
        <v>57</v>
      </c>
      <c r="H325" s="7" t="s">
        <v>55</v>
      </c>
      <c r="I325" s="7" t="s">
        <v>55</v>
      </c>
      <c r="J325" s="7" t="s">
        <v>55</v>
      </c>
      <c r="K325" s="7"/>
      <c r="L325" s="14" t="str">
        <f t="shared" si="1"/>
        <v>Não</v>
      </c>
      <c r="M325" s="7"/>
      <c r="N325" s="7"/>
      <c r="O325" s="7" t="s">
        <v>55</v>
      </c>
      <c r="P325" s="7"/>
      <c r="Q325" s="16" t="s">
        <v>57</v>
      </c>
      <c r="R325" s="16" t="s">
        <v>55</v>
      </c>
      <c r="S325" s="16" t="s">
        <v>55</v>
      </c>
      <c r="T325" s="16" t="s">
        <v>55</v>
      </c>
      <c r="U325" s="16" t="s">
        <v>57</v>
      </c>
      <c r="V325" s="16" t="s">
        <v>621</v>
      </c>
      <c r="W325" s="16"/>
      <c r="X325" s="6"/>
      <c r="Y325" s="6"/>
      <c r="Z325" s="6"/>
    </row>
    <row r="326" ht="15.0" customHeight="1">
      <c r="A326" s="7" t="s">
        <v>1729</v>
      </c>
      <c r="B326" s="7" t="s">
        <v>1730</v>
      </c>
      <c r="C326" s="7" t="s">
        <v>1731</v>
      </c>
      <c r="D326" s="7" t="s">
        <v>210</v>
      </c>
      <c r="E326" s="7" t="s">
        <v>194</v>
      </c>
      <c r="F326" s="7" t="s">
        <v>92</v>
      </c>
      <c r="G326" s="7" t="s">
        <v>57</v>
      </c>
      <c r="H326" s="7" t="s">
        <v>55</v>
      </c>
      <c r="I326" s="7" t="s">
        <v>55</v>
      </c>
      <c r="J326" s="7" t="s">
        <v>55</v>
      </c>
      <c r="K326" s="7"/>
      <c r="L326" s="14" t="str">
        <f t="shared" si="1"/>
        <v>Não</v>
      </c>
      <c r="M326" s="7"/>
      <c r="N326" s="7"/>
      <c r="O326" s="7" t="s">
        <v>55</v>
      </c>
      <c r="P326" s="7"/>
      <c r="Q326" s="16" t="s">
        <v>57</v>
      </c>
      <c r="R326" s="16" t="s">
        <v>55</v>
      </c>
      <c r="S326" s="16" t="s">
        <v>55</v>
      </c>
      <c r="T326" s="16" t="s">
        <v>55</v>
      </c>
      <c r="U326" s="16" t="s">
        <v>57</v>
      </c>
      <c r="V326" s="16" t="s">
        <v>621</v>
      </c>
      <c r="W326" s="16"/>
      <c r="X326" s="6"/>
      <c r="Y326" s="6"/>
      <c r="Z326" s="6"/>
    </row>
    <row r="327" ht="15.0" customHeight="1">
      <c r="A327" s="7" t="s">
        <v>1732</v>
      </c>
      <c r="B327" s="7" t="s">
        <v>1733</v>
      </c>
      <c r="C327" s="7" t="s">
        <v>1734</v>
      </c>
      <c r="D327" s="7" t="s">
        <v>210</v>
      </c>
      <c r="E327" s="7" t="s">
        <v>194</v>
      </c>
      <c r="F327" s="7" t="s">
        <v>92</v>
      </c>
      <c r="G327" s="7" t="s">
        <v>57</v>
      </c>
      <c r="H327" s="7" t="s">
        <v>55</v>
      </c>
      <c r="I327" s="7" t="s">
        <v>55</v>
      </c>
      <c r="J327" s="7" t="s">
        <v>55</v>
      </c>
      <c r="K327" s="7"/>
      <c r="L327" s="14" t="str">
        <f t="shared" si="1"/>
        <v>Não</v>
      </c>
      <c r="M327" s="7"/>
      <c r="N327" s="7"/>
      <c r="O327" s="7" t="s">
        <v>55</v>
      </c>
      <c r="P327" s="7"/>
      <c r="Q327" s="16" t="s">
        <v>57</v>
      </c>
      <c r="R327" s="16" t="s">
        <v>55</v>
      </c>
      <c r="S327" s="16" t="s">
        <v>55</v>
      </c>
      <c r="T327" s="16" t="s">
        <v>55</v>
      </c>
      <c r="U327" s="16" t="s">
        <v>57</v>
      </c>
      <c r="V327" s="16" t="s">
        <v>621</v>
      </c>
      <c r="W327" s="16"/>
      <c r="X327" s="6"/>
      <c r="Y327" s="6"/>
      <c r="Z327" s="6"/>
    </row>
    <row r="328" ht="15.0" customHeight="1">
      <c r="A328" s="7" t="s">
        <v>1735</v>
      </c>
      <c r="B328" s="7" t="s">
        <v>1736</v>
      </c>
      <c r="C328" s="7" t="s">
        <v>1737</v>
      </c>
      <c r="D328" s="7" t="s">
        <v>210</v>
      </c>
      <c r="E328" s="7" t="s">
        <v>194</v>
      </c>
      <c r="F328" s="7" t="s">
        <v>92</v>
      </c>
      <c r="G328" s="7" t="s">
        <v>57</v>
      </c>
      <c r="H328" s="7" t="s">
        <v>55</v>
      </c>
      <c r="I328" s="7" t="s">
        <v>55</v>
      </c>
      <c r="J328" s="7" t="s">
        <v>55</v>
      </c>
      <c r="K328" s="7"/>
      <c r="L328" s="14" t="str">
        <f t="shared" si="1"/>
        <v>Não</v>
      </c>
      <c r="M328" s="7"/>
      <c r="N328" s="7"/>
      <c r="O328" s="7" t="s">
        <v>55</v>
      </c>
      <c r="P328" s="7"/>
      <c r="Q328" s="16" t="s">
        <v>57</v>
      </c>
      <c r="R328" s="16" t="s">
        <v>55</v>
      </c>
      <c r="S328" s="16" t="s">
        <v>55</v>
      </c>
      <c r="T328" s="16" t="s">
        <v>55</v>
      </c>
      <c r="U328" s="16" t="s">
        <v>57</v>
      </c>
      <c r="V328" s="16" t="s">
        <v>621</v>
      </c>
      <c r="W328" s="16"/>
      <c r="X328" s="6"/>
      <c r="Y328" s="6"/>
      <c r="Z328" s="6"/>
    </row>
    <row r="329" ht="15.0" customHeight="1">
      <c r="A329" s="7" t="s">
        <v>1738</v>
      </c>
      <c r="B329" s="7" t="s">
        <v>1739</v>
      </c>
      <c r="C329" s="7" t="s">
        <v>1740</v>
      </c>
      <c r="D329" s="7" t="s">
        <v>210</v>
      </c>
      <c r="E329" s="7" t="s">
        <v>213</v>
      </c>
      <c r="F329" s="7" t="s">
        <v>92</v>
      </c>
      <c r="G329" s="7" t="s">
        <v>57</v>
      </c>
      <c r="H329" s="7" t="s">
        <v>55</v>
      </c>
      <c r="I329" s="7" t="s">
        <v>55</v>
      </c>
      <c r="J329" s="7" t="s">
        <v>55</v>
      </c>
      <c r="K329" s="7"/>
      <c r="L329" s="14" t="str">
        <f t="shared" si="1"/>
        <v>Não</v>
      </c>
      <c r="M329" s="7"/>
      <c r="N329" s="7"/>
      <c r="O329" s="7" t="s">
        <v>55</v>
      </c>
      <c r="P329" s="7"/>
      <c r="Q329" s="16" t="s">
        <v>57</v>
      </c>
      <c r="R329" s="16" t="s">
        <v>55</v>
      </c>
      <c r="S329" s="16" t="s">
        <v>55</v>
      </c>
      <c r="T329" s="16" t="s">
        <v>55</v>
      </c>
      <c r="U329" s="16" t="s">
        <v>57</v>
      </c>
      <c r="V329" s="16" t="s">
        <v>621</v>
      </c>
      <c r="W329" s="16"/>
      <c r="X329" s="6"/>
      <c r="Y329" s="6"/>
      <c r="Z329" s="6"/>
    </row>
    <row r="330" ht="15.0" customHeight="1">
      <c r="A330" s="7" t="s">
        <v>1741</v>
      </c>
      <c r="B330" s="7" t="s">
        <v>1742</v>
      </c>
      <c r="C330" s="7" t="s">
        <v>1743</v>
      </c>
      <c r="D330" s="7" t="s">
        <v>210</v>
      </c>
      <c r="E330" s="7" t="s">
        <v>213</v>
      </c>
      <c r="F330" s="7" t="s">
        <v>92</v>
      </c>
      <c r="G330" s="7" t="s">
        <v>57</v>
      </c>
      <c r="H330" s="7" t="s">
        <v>55</v>
      </c>
      <c r="I330" s="7" t="s">
        <v>55</v>
      </c>
      <c r="J330" s="7" t="s">
        <v>55</v>
      </c>
      <c r="K330" s="7"/>
      <c r="L330" s="14" t="str">
        <f t="shared" si="1"/>
        <v>Não</v>
      </c>
      <c r="M330" s="7"/>
      <c r="N330" s="7"/>
      <c r="O330" s="7" t="s">
        <v>55</v>
      </c>
      <c r="P330" s="7"/>
      <c r="Q330" s="16" t="s">
        <v>57</v>
      </c>
      <c r="R330" s="16" t="s">
        <v>55</v>
      </c>
      <c r="S330" s="16" t="s">
        <v>55</v>
      </c>
      <c r="T330" s="16" t="s">
        <v>55</v>
      </c>
      <c r="U330" s="16" t="s">
        <v>57</v>
      </c>
      <c r="V330" s="16" t="s">
        <v>225</v>
      </c>
      <c r="W330" s="16"/>
      <c r="X330" s="6"/>
      <c r="Y330" s="6"/>
      <c r="Z330" s="6"/>
    </row>
    <row r="331" ht="15.0" customHeight="1">
      <c r="A331" s="7" t="s">
        <v>1744</v>
      </c>
      <c r="B331" s="7" t="s">
        <v>1745</v>
      </c>
      <c r="C331" s="7" t="s">
        <v>1746</v>
      </c>
      <c r="D331" s="7" t="s">
        <v>210</v>
      </c>
      <c r="E331" s="7" t="s">
        <v>328</v>
      </c>
      <c r="F331" s="7" t="s">
        <v>92</v>
      </c>
      <c r="G331" s="7" t="s">
        <v>55</v>
      </c>
      <c r="H331" s="7" t="s">
        <v>55</v>
      </c>
      <c r="I331" s="7" t="s">
        <v>55</v>
      </c>
      <c r="J331" s="7" t="s">
        <v>57</v>
      </c>
      <c r="K331" s="7"/>
      <c r="L331" s="14" t="str">
        <f t="shared" si="1"/>
        <v>Não</v>
      </c>
      <c r="M331" s="7"/>
      <c r="N331" s="7"/>
      <c r="O331" s="7" t="s">
        <v>55</v>
      </c>
      <c r="P331" s="7"/>
      <c r="Q331" s="16" t="s">
        <v>55</v>
      </c>
      <c r="R331" s="16" t="s">
        <v>55</v>
      </c>
      <c r="S331" s="16" t="s">
        <v>55</v>
      </c>
      <c r="T331" s="16" t="s">
        <v>57</v>
      </c>
      <c r="U331" s="16" t="s">
        <v>57</v>
      </c>
      <c r="V331" s="16" t="s">
        <v>1747</v>
      </c>
      <c r="W331" s="16"/>
      <c r="X331" s="6"/>
      <c r="Y331" s="6"/>
      <c r="Z331" s="6"/>
    </row>
    <row r="332" ht="15.0" customHeight="1">
      <c r="A332" s="7" t="s">
        <v>1748</v>
      </c>
      <c r="B332" s="7" t="s">
        <v>1749</v>
      </c>
      <c r="C332" s="7" t="s">
        <v>1750</v>
      </c>
      <c r="D332" s="7" t="s">
        <v>210</v>
      </c>
      <c r="E332" s="7" t="s">
        <v>148</v>
      </c>
      <c r="F332" s="7" t="s">
        <v>92</v>
      </c>
      <c r="G332" s="7" t="s">
        <v>57</v>
      </c>
      <c r="H332" s="7" t="s">
        <v>55</v>
      </c>
      <c r="I332" s="7" t="s">
        <v>55</v>
      </c>
      <c r="J332" s="7" t="s">
        <v>55</v>
      </c>
      <c r="K332" s="7"/>
      <c r="L332" s="14" t="str">
        <f t="shared" si="1"/>
        <v>Não</v>
      </c>
      <c r="M332" s="7"/>
      <c r="N332" s="7"/>
      <c r="O332" s="7" t="s">
        <v>55</v>
      </c>
      <c r="P332" s="7"/>
      <c r="Q332" s="16" t="s">
        <v>57</v>
      </c>
      <c r="R332" s="16" t="s">
        <v>55</v>
      </c>
      <c r="S332" s="16" t="s">
        <v>55</v>
      </c>
      <c r="T332" s="16" t="s">
        <v>55</v>
      </c>
      <c r="U332" s="16" t="s">
        <v>57</v>
      </c>
      <c r="V332" s="16" t="s">
        <v>225</v>
      </c>
      <c r="W332" s="16"/>
      <c r="X332" s="6"/>
      <c r="Y332" s="6"/>
      <c r="Z332" s="6"/>
    </row>
    <row r="333" ht="15.0" customHeight="1">
      <c r="A333" s="7" t="s">
        <v>1751</v>
      </c>
      <c r="B333" s="7" t="s">
        <v>1752</v>
      </c>
      <c r="C333" s="7" t="s">
        <v>1753</v>
      </c>
      <c r="D333" s="7" t="s">
        <v>210</v>
      </c>
      <c r="E333" s="7" t="s">
        <v>286</v>
      </c>
      <c r="F333" s="7" t="s">
        <v>92</v>
      </c>
      <c r="G333" s="7" t="s">
        <v>57</v>
      </c>
      <c r="H333" s="7" t="s">
        <v>55</v>
      </c>
      <c r="I333" s="7" t="s">
        <v>55</v>
      </c>
      <c r="J333" s="7" t="s">
        <v>55</v>
      </c>
      <c r="K333" s="7"/>
      <c r="L333" s="14" t="str">
        <f t="shared" si="1"/>
        <v>Não</v>
      </c>
      <c r="M333" s="7"/>
      <c r="N333" s="7"/>
      <c r="O333" s="7" t="s">
        <v>55</v>
      </c>
      <c r="P333" s="7"/>
      <c r="Q333" s="16" t="s">
        <v>57</v>
      </c>
      <c r="R333" s="16" t="s">
        <v>55</v>
      </c>
      <c r="S333" s="16" t="s">
        <v>55</v>
      </c>
      <c r="T333" s="16" t="s">
        <v>55</v>
      </c>
      <c r="U333" s="16" t="s">
        <v>57</v>
      </c>
      <c r="V333" s="16" t="s">
        <v>225</v>
      </c>
      <c r="W333" s="16"/>
      <c r="X333" s="6"/>
      <c r="Y333" s="6"/>
      <c r="Z333" s="6"/>
    </row>
    <row r="334" ht="15.0" customHeight="1">
      <c r="A334" s="7" t="s">
        <v>1756</v>
      </c>
      <c r="B334" s="7" t="s">
        <v>1757</v>
      </c>
      <c r="C334" s="7" t="s">
        <v>1758</v>
      </c>
      <c r="D334" s="7" t="s">
        <v>210</v>
      </c>
      <c r="E334" s="7" t="s">
        <v>267</v>
      </c>
      <c r="F334" s="7" t="s">
        <v>92</v>
      </c>
      <c r="G334" s="7" t="s">
        <v>55</v>
      </c>
      <c r="H334" s="7" t="s">
        <v>55</v>
      </c>
      <c r="I334" s="7" t="s">
        <v>55</v>
      </c>
      <c r="J334" s="7" t="s">
        <v>55</v>
      </c>
      <c r="K334" s="7"/>
      <c r="L334" s="14" t="str">
        <f t="shared" si="1"/>
        <v>Sim</v>
      </c>
      <c r="M334" s="7"/>
      <c r="N334" s="7"/>
      <c r="O334" s="7" t="s">
        <v>55</v>
      </c>
      <c r="P334" s="7"/>
      <c r="Q334" s="16" t="s">
        <v>55</v>
      </c>
      <c r="R334" s="16" t="s">
        <v>55</v>
      </c>
      <c r="S334" s="16" t="s">
        <v>55</v>
      </c>
      <c r="T334" s="16" t="s">
        <v>55</v>
      </c>
      <c r="U334" s="16" t="s">
        <v>55</v>
      </c>
      <c r="V334" s="16" t="s">
        <v>127</v>
      </c>
      <c r="W334" s="16"/>
      <c r="X334" s="6"/>
      <c r="Y334" s="6"/>
      <c r="Z334" s="6"/>
    </row>
    <row r="335" ht="15.0" customHeight="1">
      <c r="A335" s="7" t="s">
        <v>1761</v>
      </c>
      <c r="B335" s="7" t="s">
        <v>1762</v>
      </c>
      <c r="C335" s="7" t="s">
        <v>1763</v>
      </c>
      <c r="D335" s="7" t="s">
        <v>210</v>
      </c>
      <c r="E335" s="7" t="s">
        <v>180</v>
      </c>
      <c r="F335" s="7" t="s">
        <v>92</v>
      </c>
      <c r="G335" s="7" t="s">
        <v>55</v>
      </c>
      <c r="H335" s="7" t="s">
        <v>55</v>
      </c>
      <c r="I335" s="7" t="s">
        <v>55</v>
      </c>
      <c r="J335" s="7" t="s">
        <v>55</v>
      </c>
      <c r="K335" s="11" t="s">
        <v>1764</v>
      </c>
      <c r="L335" s="14" t="str">
        <f t="shared" si="1"/>
        <v>Não</v>
      </c>
      <c r="M335" s="7"/>
      <c r="N335" s="7"/>
      <c r="O335" s="7" t="s">
        <v>55</v>
      </c>
      <c r="P335" s="7"/>
      <c r="Q335" s="16" t="s">
        <v>55</v>
      </c>
      <c r="R335" s="16" t="s">
        <v>55</v>
      </c>
      <c r="S335" s="16" t="s">
        <v>55</v>
      </c>
      <c r="T335" s="16" t="s">
        <v>55</v>
      </c>
      <c r="U335" s="16" t="s">
        <v>55</v>
      </c>
      <c r="V335" s="16" t="s">
        <v>127</v>
      </c>
      <c r="W335" s="16" t="s">
        <v>1765</v>
      </c>
      <c r="X335" s="6"/>
      <c r="Y335" s="6"/>
      <c r="Z335" s="6"/>
    </row>
    <row r="336" ht="28.5" customHeight="1">
      <c r="A336" s="7" t="s">
        <v>1766</v>
      </c>
      <c r="B336" s="7" t="s">
        <v>1767</v>
      </c>
      <c r="C336" s="7" t="s">
        <v>1768</v>
      </c>
      <c r="D336" s="7" t="s">
        <v>210</v>
      </c>
      <c r="E336" s="7" t="s">
        <v>180</v>
      </c>
      <c r="F336" s="7" t="s">
        <v>92</v>
      </c>
      <c r="G336" s="7" t="s">
        <v>55</v>
      </c>
      <c r="H336" s="7" t="s">
        <v>55</v>
      </c>
      <c r="I336" s="7" t="s">
        <v>55</v>
      </c>
      <c r="J336" s="7" t="s">
        <v>55</v>
      </c>
      <c r="K336" s="11" t="s">
        <v>1769</v>
      </c>
      <c r="L336" s="14" t="str">
        <f t="shared" si="1"/>
        <v>Não</v>
      </c>
      <c r="M336" s="7"/>
      <c r="N336" s="7"/>
      <c r="O336" s="7" t="s">
        <v>55</v>
      </c>
      <c r="P336" s="7"/>
      <c r="Q336" s="16" t="s">
        <v>55</v>
      </c>
      <c r="R336" s="16" t="s">
        <v>55</v>
      </c>
      <c r="S336" s="16" t="s">
        <v>55</v>
      </c>
      <c r="T336" s="16" t="s">
        <v>55</v>
      </c>
      <c r="U336" s="16" t="s">
        <v>55</v>
      </c>
      <c r="V336" s="16" t="s">
        <v>127</v>
      </c>
      <c r="W336" s="16" t="s">
        <v>1771</v>
      </c>
      <c r="X336" s="6"/>
      <c r="Y336" s="6"/>
      <c r="Z336" s="6"/>
    </row>
    <row r="337" ht="15.0" customHeight="1">
      <c r="A337" s="7" t="s">
        <v>1772</v>
      </c>
      <c r="B337" s="7" t="s">
        <v>1773</v>
      </c>
      <c r="C337" s="7" t="s">
        <v>1774</v>
      </c>
      <c r="D337" s="7" t="s">
        <v>210</v>
      </c>
      <c r="E337" s="7" t="s">
        <v>180</v>
      </c>
      <c r="F337" s="7" t="s">
        <v>92</v>
      </c>
      <c r="G337" s="7" t="s">
        <v>55</v>
      </c>
      <c r="H337" s="7" t="s">
        <v>55</v>
      </c>
      <c r="I337" s="7" t="s">
        <v>55</v>
      </c>
      <c r="J337" s="7" t="s">
        <v>55</v>
      </c>
      <c r="K337" s="11" t="s">
        <v>1775</v>
      </c>
      <c r="L337" s="14" t="str">
        <f t="shared" si="1"/>
        <v>Não</v>
      </c>
      <c r="M337" s="7"/>
      <c r="N337" s="7"/>
      <c r="O337" s="7" t="s">
        <v>55</v>
      </c>
      <c r="P337" s="7"/>
      <c r="Q337" s="16" t="s">
        <v>55</v>
      </c>
      <c r="R337" s="16" t="s">
        <v>55</v>
      </c>
      <c r="S337" s="16" t="s">
        <v>55</v>
      </c>
      <c r="T337" s="16" t="s">
        <v>55</v>
      </c>
      <c r="U337" s="16" t="s">
        <v>55</v>
      </c>
      <c r="V337" s="16" t="s">
        <v>127</v>
      </c>
      <c r="W337" s="16" t="s">
        <v>1776</v>
      </c>
      <c r="X337" s="6"/>
      <c r="Y337" s="6"/>
      <c r="Z337" s="6"/>
    </row>
    <row r="338" ht="15.0" customHeight="1">
      <c r="A338" s="7" t="s">
        <v>1777</v>
      </c>
      <c r="B338" s="7" t="s">
        <v>1778</v>
      </c>
      <c r="C338" s="7" t="s">
        <v>1779</v>
      </c>
      <c r="D338" s="7" t="s">
        <v>210</v>
      </c>
      <c r="E338" s="7" t="s">
        <v>306</v>
      </c>
      <c r="F338" s="7" t="s">
        <v>92</v>
      </c>
      <c r="G338" s="7" t="s">
        <v>57</v>
      </c>
      <c r="H338" s="7" t="s">
        <v>55</v>
      </c>
      <c r="I338" s="7" t="s">
        <v>55</v>
      </c>
      <c r="J338" s="7" t="s">
        <v>55</v>
      </c>
      <c r="K338" s="7"/>
      <c r="L338" s="14" t="str">
        <f t="shared" si="1"/>
        <v>Não</v>
      </c>
      <c r="M338" s="7"/>
      <c r="N338" s="7"/>
      <c r="O338" s="7" t="s">
        <v>55</v>
      </c>
      <c r="P338" s="7"/>
      <c r="Q338" s="16" t="s">
        <v>57</v>
      </c>
      <c r="R338" s="16" t="s">
        <v>55</v>
      </c>
      <c r="S338" s="16" t="s">
        <v>55</v>
      </c>
      <c r="T338" s="16" t="s">
        <v>55</v>
      </c>
      <c r="U338" s="16" t="s">
        <v>57</v>
      </c>
      <c r="V338" s="16" t="s">
        <v>225</v>
      </c>
      <c r="W338" s="16"/>
      <c r="X338" s="6"/>
      <c r="Y338" s="6"/>
      <c r="Z338" s="6"/>
    </row>
    <row r="339" ht="15.0" customHeight="1">
      <c r="A339" s="7" t="s">
        <v>1780</v>
      </c>
      <c r="B339" s="7" t="s">
        <v>1781</v>
      </c>
      <c r="C339" s="7" t="s">
        <v>1782</v>
      </c>
      <c r="D339" s="7" t="s">
        <v>210</v>
      </c>
      <c r="E339" s="7" t="s">
        <v>286</v>
      </c>
      <c r="F339" s="7" t="s">
        <v>92</v>
      </c>
      <c r="G339" s="7" t="s">
        <v>57</v>
      </c>
      <c r="H339" s="7" t="s">
        <v>55</v>
      </c>
      <c r="I339" s="7" t="s">
        <v>55</v>
      </c>
      <c r="J339" s="7" t="s">
        <v>55</v>
      </c>
      <c r="K339" s="7"/>
      <c r="L339" s="14" t="str">
        <f t="shared" si="1"/>
        <v>Não</v>
      </c>
      <c r="M339" s="7"/>
      <c r="N339" s="7"/>
      <c r="O339" s="7" t="s">
        <v>55</v>
      </c>
      <c r="P339" s="7"/>
      <c r="Q339" s="16" t="s">
        <v>57</v>
      </c>
      <c r="R339" s="16" t="s">
        <v>55</v>
      </c>
      <c r="S339" s="16" t="s">
        <v>55</v>
      </c>
      <c r="T339" s="16" t="s">
        <v>55</v>
      </c>
      <c r="U339" s="16" t="s">
        <v>57</v>
      </c>
      <c r="V339" s="16" t="s">
        <v>1440</v>
      </c>
      <c r="W339" s="16"/>
      <c r="X339" s="6"/>
      <c r="Y339" s="6"/>
      <c r="Z339" s="6"/>
    </row>
    <row r="340" ht="15.0" customHeight="1">
      <c r="A340" s="7" t="s">
        <v>1783</v>
      </c>
      <c r="B340" s="7" t="s">
        <v>1784</v>
      </c>
      <c r="C340" s="7" t="s">
        <v>1785</v>
      </c>
      <c r="D340" s="7" t="s">
        <v>210</v>
      </c>
      <c r="E340" s="7" t="s">
        <v>259</v>
      </c>
      <c r="F340" s="7" t="s">
        <v>92</v>
      </c>
      <c r="G340" s="7" t="s">
        <v>55</v>
      </c>
      <c r="H340" s="7" t="s">
        <v>55</v>
      </c>
      <c r="I340" s="7" t="s">
        <v>55</v>
      </c>
      <c r="J340" s="7" t="s">
        <v>55</v>
      </c>
      <c r="K340" s="7"/>
      <c r="L340" s="14" t="str">
        <f t="shared" si="1"/>
        <v>Sim</v>
      </c>
      <c r="M340" s="7"/>
      <c r="N340" s="7"/>
      <c r="O340" s="7" t="s">
        <v>55</v>
      </c>
      <c r="P340" s="7"/>
      <c r="Q340" s="16" t="s">
        <v>55</v>
      </c>
      <c r="R340" s="16" t="s">
        <v>55</v>
      </c>
      <c r="S340" s="16" t="s">
        <v>55</v>
      </c>
      <c r="T340" s="16" t="s">
        <v>55</v>
      </c>
      <c r="U340" s="16" t="s">
        <v>55</v>
      </c>
      <c r="V340" s="16" t="s">
        <v>127</v>
      </c>
      <c r="W340" s="16"/>
      <c r="X340" s="6"/>
      <c r="Y340" s="6"/>
      <c r="Z340" s="6"/>
    </row>
    <row r="341" ht="15.0" customHeight="1">
      <c r="A341" s="7" t="s">
        <v>1786</v>
      </c>
      <c r="B341" s="7" t="s">
        <v>1787</v>
      </c>
      <c r="C341" s="7" t="s">
        <v>1788</v>
      </c>
      <c r="D341" s="7" t="s">
        <v>210</v>
      </c>
      <c r="E341" s="7" t="s">
        <v>286</v>
      </c>
      <c r="F341" s="7" t="s">
        <v>92</v>
      </c>
      <c r="G341" s="7" t="s">
        <v>57</v>
      </c>
      <c r="H341" s="7" t="s">
        <v>55</v>
      </c>
      <c r="I341" s="7" t="s">
        <v>55</v>
      </c>
      <c r="J341" s="7" t="s">
        <v>55</v>
      </c>
      <c r="K341" s="7"/>
      <c r="L341" s="14" t="str">
        <f t="shared" si="1"/>
        <v>Não</v>
      </c>
      <c r="M341" s="7"/>
      <c r="N341" s="7"/>
      <c r="O341" s="7" t="s">
        <v>55</v>
      </c>
      <c r="P341" s="7"/>
      <c r="Q341" s="16" t="s">
        <v>57</v>
      </c>
      <c r="R341" s="16" t="s">
        <v>55</v>
      </c>
      <c r="S341" s="16" t="s">
        <v>55</v>
      </c>
      <c r="T341" s="16" t="s">
        <v>55</v>
      </c>
      <c r="U341" s="16" t="s">
        <v>57</v>
      </c>
      <c r="V341" s="16" t="s">
        <v>1440</v>
      </c>
      <c r="W341" s="16"/>
      <c r="X341" s="6"/>
      <c r="Y341" s="6"/>
      <c r="Z341" s="6"/>
    </row>
    <row r="342" ht="15.0" customHeight="1">
      <c r="A342" s="7" t="s">
        <v>1789</v>
      </c>
      <c r="B342" s="7" t="s">
        <v>1790</v>
      </c>
      <c r="C342" s="7" t="s">
        <v>1791</v>
      </c>
      <c r="D342" s="7" t="s">
        <v>210</v>
      </c>
      <c r="E342" s="7" t="s">
        <v>107</v>
      </c>
      <c r="F342" s="7" t="s">
        <v>92</v>
      </c>
      <c r="G342" s="7" t="s">
        <v>55</v>
      </c>
      <c r="H342" s="7" t="s">
        <v>55</v>
      </c>
      <c r="I342" s="7" t="s">
        <v>55</v>
      </c>
      <c r="J342" s="7" t="s">
        <v>55</v>
      </c>
      <c r="K342" s="7"/>
      <c r="L342" s="14" t="str">
        <f t="shared" si="1"/>
        <v>Sim</v>
      </c>
      <c r="M342" s="7"/>
      <c r="N342" s="7"/>
      <c r="O342" s="7" t="s">
        <v>55</v>
      </c>
      <c r="P342" s="7"/>
      <c r="Q342" s="16" t="s">
        <v>55</v>
      </c>
      <c r="R342" s="16" t="s">
        <v>55</v>
      </c>
      <c r="S342" s="16" t="s">
        <v>55</v>
      </c>
      <c r="T342" s="16" t="s">
        <v>55</v>
      </c>
      <c r="U342" s="16" t="s">
        <v>55</v>
      </c>
      <c r="V342" s="16" t="s">
        <v>127</v>
      </c>
      <c r="W342" s="16"/>
      <c r="X342" s="6"/>
      <c r="Y342" s="6"/>
      <c r="Z342" s="6"/>
    </row>
    <row r="343" ht="15.0" customHeight="1">
      <c r="A343" s="7" t="s">
        <v>1792</v>
      </c>
      <c r="B343" s="7" t="s">
        <v>1793</v>
      </c>
      <c r="C343" s="7" t="s">
        <v>1794</v>
      </c>
      <c r="D343" s="7" t="s">
        <v>210</v>
      </c>
      <c r="E343" s="7" t="s">
        <v>213</v>
      </c>
      <c r="F343" s="7" t="s">
        <v>92</v>
      </c>
      <c r="G343" s="7" t="s">
        <v>55</v>
      </c>
      <c r="H343" s="7" t="s">
        <v>55</v>
      </c>
      <c r="I343" s="7" t="s">
        <v>55</v>
      </c>
      <c r="J343" s="7" t="s">
        <v>55</v>
      </c>
      <c r="K343" s="7"/>
      <c r="L343" s="14" t="str">
        <f t="shared" si="1"/>
        <v>Sim</v>
      </c>
      <c r="M343" s="7"/>
      <c r="N343" s="7"/>
      <c r="O343" s="7" t="s">
        <v>55</v>
      </c>
      <c r="P343" s="7"/>
      <c r="Q343" s="16" t="s">
        <v>55</v>
      </c>
      <c r="R343" s="16" t="s">
        <v>55</v>
      </c>
      <c r="S343" s="16" t="s">
        <v>55</v>
      </c>
      <c r="T343" s="16" t="s">
        <v>55</v>
      </c>
      <c r="U343" s="16" t="s">
        <v>55</v>
      </c>
      <c r="V343" s="16" t="s">
        <v>127</v>
      </c>
      <c r="W343" s="16"/>
      <c r="X343" s="6"/>
      <c r="Y343" s="6"/>
      <c r="Z343" s="6"/>
    </row>
    <row r="344" ht="15.0" customHeight="1">
      <c r="A344" s="7" t="s">
        <v>1795</v>
      </c>
      <c r="B344" s="7" t="s">
        <v>1796</v>
      </c>
      <c r="C344" s="7" t="s">
        <v>1797</v>
      </c>
      <c r="D344" s="7" t="s">
        <v>210</v>
      </c>
      <c r="E344" s="7" t="s">
        <v>138</v>
      </c>
      <c r="F344" s="7" t="s">
        <v>92</v>
      </c>
      <c r="G344" s="7" t="s">
        <v>55</v>
      </c>
      <c r="H344" s="7" t="s">
        <v>55</v>
      </c>
      <c r="I344" s="7" t="s">
        <v>55</v>
      </c>
      <c r="J344" s="7" t="s">
        <v>55</v>
      </c>
      <c r="K344" s="7"/>
      <c r="L344" s="14" t="str">
        <f t="shared" si="1"/>
        <v>Sim</v>
      </c>
      <c r="M344" s="7"/>
      <c r="N344" s="7"/>
      <c r="O344" s="7" t="s">
        <v>55</v>
      </c>
      <c r="P344" s="7"/>
      <c r="Q344" s="16" t="s">
        <v>55</v>
      </c>
      <c r="R344" s="16" t="s">
        <v>55</v>
      </c>
      <c r="S344" s="16" t="s">
        <v>55</v>
      </c>
      <c r="T344" s="16" t="s">
        <v>55</v>
      </c>
      <c r="U344" s="16" t="s">
        <v>55</v>
      </c>
      <c r="V344" s="16" t="s">
        <v>127</v>
      </c>
      <c r="W344" s="16"/>
      <c r="X344" s="6"/>
      <c r="Y344" s="6"/>
      <c r="Z344" s="6"/>
    </row>
    <row r="345" ht="15.0" customHeight="1">
      <c r="A345" s="7" t="s">
        <v>1798</v>
      </c>
      <c r="B345" s="7" t="s">
        <v>1799</v>
      </c>
      <c r="C345" s="7" t="s">
        <v>1800</v>
      </c>
      <c r="D345" s="7" t="s">
        <v>210</v>
      </c>
      <c r="E345" s="7" t="s">
        <v>213</v>
      </c>
      <c r="F345" s="7" t="s">
        <v>92</v>
      </c>
      <c r="G345" s="7" t="s">
        <v>55</v>
      </c>
      <c r="H345" s="7" t="s">
        <v>55</v>
      </c>
      <c r="I345" s="7" t="s">
        <v>55</v>
      </c>
      <c r="J345" s="7" t="s">
        <v>55</v>
      </c>
      <c r="K345" s="7"/>
      <c r="L345" s="14" t="str">
        <f t="shared" si="1"/>
        <v>Sim</v>
      </c>
      <c r="M345" s="7"/>
      <c r="N345" s="7"/>
      <c r="O345" s="7" t="s">
        <v>55</v>
      </c>
      <c r="P345" s="7"/>
      <c r="Q345" s="16" t="s">
        <v>55</v>
      </c>
      <c r="R345" s="16" t="s">
        <v>55</v>
      </c>
      <c r="S345" s="16" t="s">
        <v>55</v>
      </c>
      <c r="T345" s="16" t="s">
        <v>55</v>
      </c>
      <c r="U345" s="16" t="s">
        <v>55</v>
      </c>
      <c r="V345" s="16" t="s">
        <v>127</v>
      </c>
      <c r="W345" s="16"/>
      <c r="X345" s="6"/>
      <c r="Y345" s="6"/>
      <c r="Z345" s="6"/>
    </row>
    <row r="346" ht="15.0" customHeight="1">
      <c r="A346" s="7" t="s">
        <v>1801</v>
      </c>
      <c r="B346" s="7" t="s">
        <v>1802</v>
      </c>
      <c r="C346" s="7" t="s">
        <v>1803</v>
      </c>
      <c r="D346" s="7" t="s">
        <v>210</v>
      </c>
      <c r="E346" s="7" t="s">
        <v>194</v>
      </c>
      <c r="F346" s="7" t="s">
        <v>92</v>
      </c>
      <c r="G346" s="7" t="s">
        <v>57</v>
      </c>
      <c r="H346" s="7" t="s">
        <v>55</v>
      </c>
      <c r="I346" s="7" t="s">
        <v>55</v>
      </c>
      <c r="J346" s="7" t="s">
        <v>55</v>
      </c>
      <c r="K346" s="7"/>
      <c r="L346" s="14" t="str">
        <f t="shared" si="1"/>
        <v>Não</v>
      </c>
      <c r="M346" s="7"/>
      <c r="N346" s="7"/>
      <c r="O346" s="7" t="s">
        <v>55</v>
      </c>
      <c r="P346" s="7"/>
      <c r="Q346" s="16" t="s">
        <v>57</v>
      </c>
      <c r="R346" s="16" t="s">
        <v>55</v>
      </c>
      <c r="S346" s="16" t="s">
        <v>55</v>
      </c>
      <c r="T346" s="16" t="s">
        <v>55</v>
      </c>
      <c r="U346" s="16" t="s">
        <v>57</v>
      </c>
      <c r="V346" s="16" t="s">
        <v>225</v>
      </c>
      <c r="W346" s="16"/>
      <c r="X346" s="6"/>
      <c r="Y346" s="6"/>
      <c r="Z346" s="6"/>
    </row>
    <row r="347" ht="15.0" customHeight="1">
      <c r="A347" s="7" t="s">
        <v>1805</v>
      </c>
      <c r="B347" s="7" t="s">
        <v>1806</v>
      </c>
      <c r="C347" s="7" t="s">
        <v>1807</v>
      </c>
      <c r="D347" s="7" t="s">
        <v>210</v>
      </c>
      <c r="E347" s="7" t="s">
        <v>202</v>
      </c>
      <c r="F347" s="7" t="s">
        <v>92</v>
      </c>
      <c r="G347" s="7" t="s">
        <v>57</v>
      </c>
      <c r="H347" s="7" t="s">
        <v>55</v>
      </c>
      <c r="I347" s="7" t="s">
        <v>55</v>
      </c>
      <c r="J347" s="7" t="s">
        <v>55</v>
      </c>
      <c r="K347" s="7"/>
      <c r="L347" s="14" t="str">
        <f t="shared" si="1"/>
        <v>Não</v>
      </c>
      <c r="M347" s="7"/>
      <c r="N347" s="7"/>
      <c r="O347" s="7" t="s">
        <v>55</v>
      </c>
      <c r="P347" s="7"/>
      <c r="Q347" s="16" t="s">
        <v>57</v>
      </c>
      <c r="R347" s="16" t="s">
        <v>55</v>
      </c>
      <c r="S347" s="16" t="s">
        <v>55</v>
      </c>
      <c r="T347" s="16" t="s">
        <v>55</v>
      </c>
      <c r="U347" s="16" t="s">
        <v>57</v>
      </c>
      <c r="V347" s="16" t="s">
        <v>225</v>
      </c>
      <c r="W347" s="16"/>
      <c r="X347" s="6"/>
      <c r="Y347" s="6"/>
      <c r="Z347" s="6"/>
    </row>
    <row r="348" ht="15.0" customHeight="1">
      <c r="A348" s="7" t="s">
        <v>1811</v>
      </c>
      <c r="B348" s="7" t="s">
        <v>1812</v>
      </c>
      <c r="C348" s="7" t="s">
        <v>1814</v>
      </c>
      <c r="D348" s="7" t="s">
        <v>210</v>
      </c>
      <c r="E348" s="7" t="s">
        <v>213</v>
      </c>
      <c r="F348" s="7" t="s">
        <v>92</v>
      </c>
      <c r="G348" s="7" t="s">
        <v>55</v>
      </c>
      <c r="H348" s="7" t="s">
        <v>55</v>
      </c>
      <c r="I348" s="7" t="s">
        <v>55</v>
      </c>
      <c r="J348" s="7" t="s">
        <v>55</v>
      </c>
      <c r="K348" s="7"/>
      <c r="L348" s="14" t="str">
        <f t="shared" si="1"/>
        <v>Sim</v>
      </c>
      <c r="M348" s="7"/>
      <c r="N348" s="7"/>
      <c r="O348" s="7" t="s">
        <v>55</v>
      </c>
      <c r="P348" s="7"/>
      <c r="Q348" s="16" t="s">
        <v>55</v>
      </c>
      <c r="R348" s="16" t="s">
        <v>55</v>
      </c>
      <c r="S348" s="16" t="s">
        <v>55</v>
      </c>
      <c r="T348" s="16" t="s">
        <v>55</v>
      </c>
      <c r="U348" s="16" t="s">
        <v>55</v>
      </c>
      <c r="V348" s="16" t="s">
        <v>127</v>
      </c>
      <c r="W348" s="16"/>
      <c r="X348" s="6"/>
      <c r="Y348" s="6"/>
      <c r="Z348" s="6"/>
    </row>
    <row r="349" ht="15.0" customHeight="1">
      <c r="A349" s="7" t="s">
        <v>1815</v>
      </c>
      <c r="B349" s="7" t="s">
        <v>1816</v>
      </c>
      <c r="C349" s="7" t="s">
        <v>1817</v>
      </c>
      <c r="D349" s="7" t="s">
        <v>210</v>
      </c>
      <c r="E349" s="7" t="s">
        <v>213</v>
      </c>
      <c r="F349" s="7" t="s">
        <v>92</v>
      </c>
      <c r="G349" s="7" t="s">
        <v>55</v>
      </c>
      <c r="H349" s="7" t="s">
        <v>55</v>
      </c>
      <c r="I349" s="7" t="s">
        <v>55</v>
      </c>
      <c r="J349" s="7" t="s">
        <v>55</v>
      </c>
      <c r="K349" s="7"/>
      <c r="L349" s="14" t="str">
        <f t="shared" si="1"/>
        <v>Sim</v>
      </c>
      <c r="M349" s="7"/>
      <c r="N349" s="7"/>
      <c r="O349" s="7" t="s">
        <v>55</v>
      </c>
      <c r="P349" s="7"/>
      <c r="Q349" s="16" t="s">
        <v>55</v>
      </c>
      <c r="R349" s="16" t="s">
        <v>55</v>
      </c>
      <c r="S349" s="16" t="s">
        <v>55</v>
      </c>
      <c r="T349" s="16" t="s">
        <v>55</v>
      </c>
      <c r="U349" s="16" t="s">
        <v>55</v>
      </c>
      <c r="V349" s="16" t="s">
        <v>184</v>
      </c>
      <c r="W349" s="16"/>
      <c r="X349" s="6"/>
      <c r="Y349" s="6"/>
      <c r="Z349" s="6"/>
    </row>
    <row r="350" ht="15.0" customHeight="1">
      <c r="A350" s="7" t="s">
        <v>1818</v>
      </c>
      <c r="B350" s="7" t="s">
        <v>1819</v>
      </c>
      <c r="C350" s="7" t="s">
        <v>1820</v>
      </c>
      <c r="D350" s="7" t="s">
        <v>210</v>
      </c>
      <c r="E350" s="7" t="s">
        <v>243</v>
      </c>
      <c r="F350" s="7" t="s">
        <v>92</v>
      </c>
      <c r="G350" s="7" t="s">
        <v>55</v>
      </c>
      <c r="H350" s="7" t="s">
        <v>55</v>
      </c>
      <c r="I350" s="7" t="s">
        <v>55</v>
      </c>
      <c r="J350" s="7" t="s">
        <v>55</v>
      </c>
      <c r="K350" s="7"/>
      <c r="L350" s="14" t="str">
        <f t="shared" si="1"/>
        <v>Sim</v>
      </c>
      <c r="M350" s="7"/>
      <c r="N350" s="7"/>
      <c r="O350" s="7" t="s">
        <v>55</v>
      </c>
      <c r="P350" s="7"/>
      <c r="Q350" s="16" t="s">
        <v>55</v>
      </c>
      <c r="R350" s="16" t="s">
        <v>55</v>
      </c>
      <c r="S350" s="16" t="s">
        <v>55</v>
      </c>
      <c r="T350" s="16" t="s">
        <v>55</v>
      </c>
      <c r="U350" s="16" t="s">
        <v>55</v>
      </c>
      <c r="V350" s="16" t="s">
        <v>184</v>
      </c>
      <c r="W350" s="16"/>
      <c r="X350" s="6"/>
      <c r="Y350" s="6"/>
      <c r="Z350" s="6"/>
    </row>
    <row r="351" ht="15.0" customHeight="1">
      <c r="A351" s="7" t="s">
        <v>1822</v>
      </c>
      <c r="B351" s="7" t="s">
        <v>1823</v>
      </c>
      <c r="C351" s="7" t="s">
        <v>1824</v>
      </c>
      <c r="D351" s="7" t="s">
        <v>210</v>
      </c>
      <c r="E351" s="7" t="s">
        <v>315</v>
      </c>
      <c r="F351" s="7" t="s">
        <v>92</v>
      </c>
      <c r="G351" s="7" t="s">
        <v>55</v>
      </c>
      <c r="H351" s="7" t="s">
        <v>55</v>
      </c>
      <c r="I351" s="7" t="s">
        <v>55</v>
      </c>
      <c r="J351" s="7" t="s">
        <v>55</v>
      </c>
      <c r="K351" s="7"/>
      <c r="L351" s="14" t="str">
        <f t="shared" si="1"/>
        <v>Sim</v>
      </c>
      <c r="M351" s="7"/>
      <c r="N351" s="7"/>
      <c r="O351" s="7" t="s">
        <v>55</v>
      </c>
      <c r="P351" s="7"/>
      <c r="Q351" s="16" t="s">
        <v>55</v>
      </c>
      <c r="R351" s="16" t="s">
        <v>55</v>
      </c>
      <c r="S351" s="16" t="s">
        <v>55</v>
      </c>
      <c r="T351" s="16" t="s">
        <v>55</v>
      </c>
      <c r="U351" s="16" t="s">
        <v>55</v>
      </c>
      <c r="V351" s="16" t="s">
        <v>127</v>
      </c>
      <c r="W351" s="16"/>
      <c r="X351" s="6"/>
      <c r="Y351" s="6"/>
      <c r="Z351" s="6"/>
    </row>
    <row r="352" ht="15.0" customHeight="1">
      <c r="A352" s="7" t="s">
        <v>1825</v>
      </c>
      <c r="B352" s="7" t="s">
        <v>1826</v>
      </c>
      <c r="C352" s="7" t="s">
        <v>1827</v>
      </c>
      <c r="D352" s="7" t="s">
        <v>210</v>
      </c>
      <c r="E352" s="7" t="s">
        <v>243</v>
      </c>
      <c r="F352" s="7" t="s">
        <v>92</v>
      </c>
      <c r="G352" s="7" t="s">
        <v>55</v>
      </c>
      <c r="H352" s="7" t="s">
        <v>55</v>
      </c>
      <c r="I352" s="7" t="s">
        <v>55</v>
      </c>
      <c r="J352" s="7" t="s">
        <v>55</v>
      </c>
      <c r="K352" s="7"/>
      <c r="L352" s="14" t="str">
        <f t="shared" si="1"/>
        <v>Sim</v>
      </c>
      <c r="M352" s="7"/>
      <c r="N352" s="7"/>
      <c r="O352" s="7" t="s">
        <v>55</v>
      </c>
      <c r="P352" s="7"/>
      <c r="Q352" s="16" t="s">
        <v>55</v>
      </c>
      <c r="R352" s="16" t="s">
        <v>55</v>
      </c>
      <c r="S352" s="16" t="s">
        <v>55</v>
      </c>
      <c r="T352" s="16" t="s">
        <v>55</v>
      </c>
      <c r="U352" s="16" t="s">
        <v>55</v>
      </c>
      <c r="V352" s="16" t="s">
        <v>127</v>
      </c>
      <c r="W352" s="16"/>
      <c r="X352" s="6"/>
      <c r="Y352" s="6"/>
      <c r="Z352" s="6"/>
    </row>
    <row r="353" ht="15.0" customHeight="1">
      <c r="A353" s="7" t="s">
        <v>1828</v>
      </c>
      <c r="B353" s="7" t="s">
        <v>1829</v>
      </c>
      <c r="C353" s="7" t="s">
        <v>1830</v>
      </c>
      <c r="D353" s="7" t="s">
        <v>210</v>
      </c>
      <c r="E353" s="7" t="s">
        <v>243</v>
      </c>
      <c r="F353" s="7" t="s">
        <v>92</v>
      </c>
      <c r="G353" s="7" t="s">
        <v>55</v>
      </c>
      <c r="H353" s="7" t="s">
        <v>55</v>
      </c>
      <c r="I353" s="7" t="s">
        <v>55</v>
      </c>
      <c r="J353" s="7" t="s">
        <v>55</v>
      </c>
      <c r="K353" s="7"/>
      <c r="L353" s="14" t="str">
        <f t="shared" si="1"/>
        <v>Sim</v>
      </c>
      <c r="M353" s="7"/>
      <c r="N353" s="7"/>
      <c r="O353" s="7" t="s">
        <v>55</v>
      </c>
      <c r="P353" s="7"/>
      <c r="Q353" s="16" t="s">
        <v>55</v>
      </c>
      <c r="R353" s="16" t="s">
        <v>55</v>
      </c>
      <c r="S353" s="16" t="s">
        <v>55</v>
      </c>
      <c r="T353" s="16" t="s">
        <v>55</v>
      </c>
      <c r="U353" s="16" t="s">
        <v>55</v>
      </c>
      <c r="V353" s="16" t="s">
        <v>184</v>
      </c>
      <c r="W353" s="16"/>
      <c r="X353" s="6"/>
      <c r="Y353" s="6"/>
      <c r="Z353" s="6"/>
    </row>
    <row r="354" ht="15.0" customHeight="1">
      <c r="A354" s="7" t="s">
        <v>1831</v>
      </c>
      <c r="B354" s="7" t="s">
        <v>1832</v>
      </c>
      <c r="C354" s="7" t="s">
        <v>1833</v>
      </c>
      <c r="D354" s="7" t="s">
        <v>210</v>
      </c>
      <c r="E354" s="7" t="s">
        <v>286</v>
      </c>
      <c r="F354" s="7" t="s">
        <v>92</v>
      </c>
      <c r="G354" s="7" t="s">
        <v>57</v>
      </c>
      <c r="H354" s="7" t="s">
        <v>55</v>
      </c>
      <c r="I354" s="7" t="s">
        <v>55</v>
      </c>
      <c r="J354" s="7" t="s">
        <v>55</v>
      </c>
      <c r="K354" s="7"/>
      <c r="L354" s="14" t="str">
        <f t="shared" si="1"/>
        <v>Não</v>
      </c>
      <c r="M354" s="7"/>
      <c r="N354" s="7"/>
      <c r="O354" s="7" t="s">
        <v>55</v>
      </c>
      <c r="P354" s="7"/>
      <c r="Q354" s="16" t="s">
        <v>57</v>
      </c>
      <c r="R354" s="16" t="s">
        <v>55</v>
      </c>
      <c r="S354" s="16" t="s">
        <v>55</v>
      </c>
      <c r="T354" s="16" t="s">
        <v>55</v>
      </c>
      <c r="U354" s="16" t="s">
        <v>57</v>
      </c>
      <c r="V354" s="16" t="s">
        <v>1440</v>
      </c>
      <c r="W354" s="16"/>
      <c r="X354" s="6"/>
      <c r="Y354" s="6"/>
      <c r="Z354" s="6"/>
    </row>
    <row r="355" ht="15.0" customHeight="1">
      <c r="A355" s="7" t="s">
        <v>1834</v>
      </c>
      <c r="B355" s="7" t="s">
        <v>1835</v>
      </c>
      <c r="C355" s="7" t="s">
        <v>1836</v>
      </c>
      <c r="D355" s="7" t="s">
        <v>210</v>
      </c>
      <c r="E355" s="7" t="s">
        <v>267</v>
      </c>
      <c r="F355" s="7" t="s">
        <v>92</v>
      </c>
      <c r="G355" s="7" t="s">
        <v>55</v>
      </c>
      <c r="H355" s="7" t="s">
        <v>55</v>
      </c>
      <c r="I355" s="7" t="s">
        <v>55</v>
      </c>
      <c r="J355" s="7" t="s">
        <v>55</v>
      </c>
      <c r="K355" s="11" t="s">
        <v>1837</v>
      </c>
      <c r="L355" s="14" t="str">
        <f t="shared" si="1"/>
        <v>Não</v>
      </c>
      <c r="M355" s="7"/>
      <c r="N355" s="7"/>
      <c r="O355" s="7" t="s">
        <v>55</v>
      </c>
      <c r="P355" s="7"/>
      <c r="Q355" s="16" t="s">
        <v>55</v>
      </c>
      <c r="R355" s="16" t="s">
        <v>55</v>
      </c>
      <c r="S355" s="16" t="s">
        <v>55</v>
      </c>
      <c r="T355" s="16" t="s">
        <v>55</v>
      </c>
      <c r="U355" s="16" t="s">
        <v>55</v>
      </c>
      <c r="V355" s="16" t="s">
        <v>127</v>
      </c>
      <c r="W355" s="16" t="s">
        <v>1838</v>
      </c>
      <c r="X355" s="6"/>
      <c r="Y355" s="6"/>
      <c r="Z355" s="6"/>
    </row>
    <row r="356" ht="15.0" customHeight="1">
      <c r="A356" s="7" t="s">
        <v>1839</v>
      </c>
      <c r="B356" s="7" t="s">
        <v>1840</v>
      </c>
      <c r="C356" s="7" t="s">
        <v>1841</v>
      </c>
      <c r="D356" s="7" t="s">
        <v>210</v>
      </c>
      <c r="E356" s="7" t="s">
        <v>315</v>
      </c>
      <c r="F356" s="7" t="s">
        <v>92</v>
      </c>
      <c r="G356" s="7" t="s">
        <v>55</v>
      </c>
      <c r="H356" s="7" t="s">
        <v>55</v>
      </c>
      <c r="I356" s="7" t="s">
        <v>55</v>
      </c>
      <c r="J356" s="7" t="s">
        <v>55</v>
      </c>
      <c r="K356" s="7"/>
      <c r="L356" s="14" t="str">
        <f t="shared" si="1"/>
        <v>Sim</v>
      </c>
      <c r="M356" s="7"/>
      <c r="N356" s="7"/>
      <c r="O356" s="7" t="s">
        <v>55</v>
      </c>
      <c r="P356" s="7"/>
      <c r="Q356" s="16" t="s">
        <v>55</v>
      </c>
      <c r="R356" s="16" t="s">
        <v>55</v>
      </c>
      <c r="S356" s="16" t="s">
        <v>55</v>
      </c>
      <c r="T356" s="16" t="s">
        <v>55</v>
      </c>
      <c r="U356" s="16" t="s">
        <v>55</v>
      </c>
      <c r="V356" s="16" t="s">
        <v>127</v>
      </c>
      <c r="W356" s="16"/>
      <c r="X356" s="6"/>
      <c r="Y356" s="6"/>
      <c r="Z356" s="6"/>
    </row>
    <row r="357" ht="15.0" customHeight="1">
      <c r="A357" s="7" t="s">
        <v>1842</v>
      </c>
      <c r="B357" s="7" t="s">
        <v>1843</v>
      </c>
      <c r="C357" s="7" t="s">
        <v>1844</v>
      </c>
      <c r="D357" s="7" t="s">
        <v>210</v>
      </c>
      <c r="E357" s="7" t="s">
        <v>80</v>
      </c>
      <c r="F357" s="7" t="s">
        <v>92</v>
      </c>
      <c r="G357" s="7" t="s">
        <v>55</v>
      </c>
      <c r="H357" s="7" t="s">
        <v>55</v>
      </c>
      <c r="I357" s="7" t="s">
        <v>55</v>
      </c>
      <c r="J357" s="7" t="s">
        <v>55</v>
      </c>
      <c r="K357" s="11" t="s">
        <v>1845</v>
      </c>
      <c r="L357" s="14" t="str">
        <f t="shared" si="1"/>
        <v>Não</v>
      </c>
      <c r="M357" s="7"/>
      <c r="N357" s="7"/>
      <c r="O357" s="7" t="s">
        <v>55</v>
      </c>
      <c r="P357" s="7"/>
      <c r="Q357" s="16" t="s">
        <v>55</v>
      </c>
      <c r="R357" s="16" t="s">
        <v>55</v>
      </c>
      <c r="S357" s="16" t="s">
        <v>55</v>
      </c>
      <c r="T357" s="16" t="s">
        <v>55</v>
      </c>
      <c r="U357" s="16" t="s">
        <v>55</v>
      </c>
      <c r="V357" s="16" t="s">
        <v>127</v>
      </c>
      <c r="W357" s="16" t="s">
        <v>1846</v>
      </c>
      <c r="X357" s="6"/>
      <c r="Y357" s="6"/>
      <c r="Z357" s="6"/>
    </row>
    <row r="358" ht="15.0" customHeight="1">
      <c r="A358" s="7" t="s">
        <v>1847</v>
      </c>
      <c r="B358" s="7" t="s">
        <v>1848</v>
      </c>
      <c r="C358" s="7" t="s">
        <v>1849</v>
      </c>
      <c r="D358" s="7" t="s">
        <v>210</v>
      </c>
      <c r="E358" s="7" t="s">
        <v>138</v>
      </c>
      <c r="F358" s="7" t="s">
        <v>92</v>
      </c>
      <c r="G358" s="7" t="s">
        <v>55</v>
      </c>
      <c r="H358" s="7" t="s">
        <v>55</v>
      </c>
      <c r="I358" s="7" t="s">
        <v>55</v>
      </c>
      <c r="J358" s="7" t="s">
        <v>55</v>
      </c>
      <c r="K358" s="7"/>
      <c r="L358" s="14" t="str">
        <f t="shared" si="1"/>
        <v>Sim</v>
      </c>
      <c r="M358" s="7"/>
      <c r="N358" s="7"/>
      <c r="O358" s="7" t="s">
        <v>55</v>
      </c>
      <c r="P358" s="7"/>
      <c r="Q358" s="16" t="s">
        <v>55</v>
      </c>
      <c r="R358" s="16" t="s">
        <v>55</v>
      </c>
      <c r="S358" s="16" t="s">
        <v>55</v>
      </c>
      <c r="T358" s="16" t="s">
        <v>55</v>
      </c>
      <c r="U358" s="16" t="s">
        <v>55</v>
      </c>
      <c r="V358" s="16" t="s">
        <v>127</v>
      </c>
      <c r="W358" s="16"/>
      <c r="X358" s="6"/>
      <c r="Y358" s="6"/>
      <c r="Z358" s="6"/>
    </row>
    <row r="359" ht="15.0" customHeight="1">
      <c r="A359" s="7" t="s">
        <v>1852</v>
      </c>
      <c r="B359" s="7" t="s">
        <v>1854</v>
      </c>
      <c r="C359" s="7" t="s">
        <v>1855</v>
      </c>
      <c r="D359" s="7" t="s">
        <v>210</v>
      </c>
      <c r="E359" s="7" t="s">
        <v>213</v>
      </c>
      <c r="F359" s="7" t="s">
        <v>92</v>
      </c>
      <c r="G359" s="7" t="s">
        <v>55</v>
      </c>
      <c r="H359" s="7" t="s">
        <v>57</v>
      </c>
      <c r="I359" s="7" t="s">
        <v>57</v>
      </c>
      <c r="J359" s="7" t="s">
        <v>55</v>
      </c>
      <c r="K359" s="7"/>
      <c r="L359" s="14" t="str">
        <f t="shared" si="1"/>
        <v>Não</v>
      </c>
      <c r="M359" s="7"/>
      <c r="N359" s="7"/>
      <c r="O359" s="7" t="s">
        <v>55</v>
      </c>
      <c r="P359" s="7"/>
      <c r="Q359" s="16" t="s">
        <v>55</v>
      </c>
      <c r="R359" s="16" t="s">
        <v>57</v>
      </c>
      <c r="S359" s="16" t="s">
        <v>57</v>
      </c>
      <c r="T359" s="16" t="s">
        <v>55</v>
      </c>
      <c r="U359" s="16" t="s">
        <v>57</v>
      </c>
      <c r="V359" s="16" t="s">
        <v>99</v>
      </c>
      <c r="W359" s="16"/>
      <c r="X359" s="6"/>
      <c r="Y359" s="6"/>
      <c r="Z359" s="6"/>
    </row>
    <row r="360" ht="15.0" customHeight="1">
      <c r="A360" s="7" t="s">
        <v>1858</v>
      </c>
      <c r="B360" s="7" t="s">
        <v>1859</v>
      </c>
      <c r="C360" s="7" t="s">
        <v>1860</v>
      </c>
      <c r="D360" s="7" t="s">
        <v>210</v>
      </c>
      <c r="E360" s="7" t="s">
        <v>259</v>
      </c>
      <c r="F360" s="7" t="s">
        <v>92</v>
      </c>
      <c r="G360" s="7" t="s">
        <v>55</v>
      </c>
      <c r="H360" s="7" t="s">
        <v>55</v>
      </c>
      <c r="I360" s="7" t="s">
        <v>55</v>
      </c>
      <c r="J360" s="7" t="s">
        <v>55</v>
      </c>
      <c r="K360" s="7"/>
      <c r="L360" s="14" t="str">
        <f t="shared" si="1"/>
        <v>Sim</v>
      </c>
      <c r="M360" s="7"/>
      <c r="N360" s="7"/>
      <c r="O360" s="7" t="s">
        <v>55</v>
      </c>
      <c r="P360" s="7"/>
      <c r="Q360" s="16" t="s">
        <v>55</v>
      </c>
      <c r="R360" s="16" t="s">
        <v>55</v>
      </c>
      <c r="S360" s="16" t="s">
        <v>55</v>
      </c>
      <c r="T360" s="16" t="s">
        <v>55</v>
      </c>
      <c r="U360" s="16" t="s">
        <v>55</v>
      </c>
      <c r="V360" s="16" t="s">
        <v>127</v>
      </c>
      <c r="W360" s="16"/>
      <c r="X360" s="6"/>
      <c r="Y360" s="6"/>
      <c r="Z360" s="6"/>
    </row>
    <row r="361" ht="15.0" customHeight="1">
      <c r="A361" s="7" t="s">
        <v>1861</v>
      </c>
      <c r="B361" s="7" t="s">
        <v>1862</v>
      </c>
      <c r="C361" s="7" t="s">
        <v>1864</v>
      </c>
      <c r="D361" s="7" t="s">
        <v>210</v>
      </c>
      <c r="E361" s="7" t="s">
        <v>180</v>
      </c>
      <c r="F361" s="7" t="s">
        <v>92</v>
      </c>
      <c r="G361" s="7" t="s">
        <v>55</v>
      </c>
      <c r="H361" s="7" t="s">
        <v>55</v>
      </c>
      <c r="I361" s="7" t="s">
        <v>55</v>
      </c>
      <c r="J361" s="7" t="s">
        <v>55</v>
      </c>
      <c r="K361" s="7"/>
      <c r="L361" s="14" t="str">
        <f t="shared" si="1"/>
        <v>Sim</v>
      </c>
      <c r="M361" s="7"/>
      <c r="N361" s="7"/>
      <c r="O361" s="7" t="s">
        <v>55</v>
      </c>
      <c r="P361" s="7"/>
      <c r="Q361" s="16" t="s">
        <v>55</v>
      </c>
      <c r="R361" s="16" t="s">
        <v>55</v>
      </c>
      <c r="S361" s="16" t="s">
        <v>55</v>
      </c>
      <c r="T361" s="16" t="s">
        <v>55</v>
      </c>
      <c r="U361" s="16" t="s">
        <v>55</v>
      </c>
      <c r="V361" s="16" t="s">
        <v>127</v>
      </c>
      <c r="W361" s="16"/>
      <c r="X361" s="6"/>
      <c r="Y361" s="6"/>
      <c r="Z361" s="6"/>
    </row>
    <row r="362" ht="15.0" customHeight="1">
      <c r="A362" s="7" t="s">
        <v>1865</v>
      </c>
      <c r="B362" s="7" t="s">
        <v>1866</v>
      </c>
      <c r="C362" s="7" t="s">
        <v>1867</v>
      </c>
      <c r="D362" s="7" t="s">
        <v>210</v>
      </c>
      <c r="E362" s="7" t="s">
        <v>213</v>
      </c>
      <c r="F362" s="7" t="s">
        <v>92</v>
      </c>
      <c r="G362" s="7" t="s">
        <v>55</v>
      </c>
      <c r="H362" s="7" t="s">
        <v>57</v>
      </c>
      <c r="I362" s="7" t="s">
        <v>57</v>
      </c>
      <c r="J362" s="7" t="s">
        <v>55</v>
      </c>
      <c r="K362" s="7"/>
      <c r="L362" s="14" t="str">
        <f t="shared" si="1"/>
        <v>Não</v>
      </c>
      <c r="M362" s="7"/>
      <c r="N362" s="7"/>
      <c r="O362" s="7" t="s">
        <v>55</v>
      </c>
      <c r="P362" s="7"/>
      <c r="Q362" s="16" t="s">
        <v>55</v>
      </c>
      <c r="R362" s="16" t="s">
        <v>57</v>
      </c>
      <c r="S362" s="16" t="s">
        <v>57</v>
      </c>
      <c r="T362" s="16" t="s">
        <v>55</v>
      </c>
      <c r="U362" s="16" t="s">
        <v>57</v>
      </c>
      <c r="V362" s="16" t="s">
        <v>99</v>
      </c>
      <c r="W362" s="16"/>
      <c r="X362" s="6"/>
      <c r="Y362" s="6"/>
      <c r="Z362" s="6"/>
    </row>
    <row r="363" ht="15.0" customHeight="1">
      <c r="A363" s="7" t="s">
        <v>1868</v>
      </c>
      <c r="B363" s="7" t="s">
        <v>1869</v>
      </c>
      <c r="C363" s="7" t="s">
        <v>1870</v>
      </c>
      <c r="D363" s="7" t="s">
        <v>210</v>
      </c>
      <c r="E363" s="7" t="s">
        <v>107</v>
      </c>
      <c r="F363" s="7" t="s">
        <v>92</v>
      </c>
      <c r="G363" s="7" t="s">
        <v>55</v>
      </c>
      <c r="H363" s="7" t="s">
        <v>55</v>
      </c>
      <c r="I363" s="7" t="s">
        <v>55</v>
      </c>
      <c r="J363" s="7" t="s">
        <v>55</v>
      </c>
      <c r="K363" s="7"/>
      <c r="L363" s="14" t="str">
        <f t="shared" si="1"/>
        <v>Sim</v>
      </c>
      <c r="M363" s="7"/>
      <c r="N363" s="7"/>
      <c r="O363" s="7" t="s">
        <v>55</v>
      </c>
      <c r="P363" s="7"/>
      <c r="Q363" s="16" t="s">
        <v>55</v>
      </c>
      <c r="R363" s="16" t="s">
        <v>55</v>
      </c>
      <c r="S363" s="16" t="s">
        <v>55</v>
      </c>
      <c r="T363" s="16" t="s">
        <v>55</v>
      </c>
      <c r="U363" s="16" t="s">
        <v>55</v>
      </c>
      <c r="V363" s="16" t="s">
        <v>127</v>
      </c>
      <c r="W363" s="16"/>
      <c r="X363" s="6"/>
      <c r="Y363" s="6"/>
      <c r="Z363" s="6"/>
    </row>
    <row r="364" ht="15.0" customHeight="1">
      <c r="A364" s="7" t="s">
        <v>1871</v>
      </c>
      <c r="B364" s="7" t="s">
        <v>1872</v>
      </c>
      <c r="C364" s="7" t="s">
        <v>1873</v>
      </c>
      <c r="D364" s="7" t="s">
        <v>210</v>
      </c>
      <c r="E364" s="7" t="s">
        <v>107</v>
      </c>
      <c r="F364" s="7" t="s">
        <v>92</v>
      </c>
      <c r="G364" s="7" t="s">
        <v>55</v>
      </c>
      <c r="H364" s="7" t="s">
        <v>55</v>
      </c>
      <c r="I364" s="7" t="s">
        <v>55</v>
      </c>
      <c r="J364" s="7" t="s">
        <v>55</v>
      </c>
      <c r="K364" s="7"/>
      <c r="L364" s="14" t="str">
        <f t="shared" si="1"/>
        <v>Sim</v>
      </c>
      <c r="M364" s="7"/>
      <c r="N364" s="7"/>
      <c r="O364" s="7" t="s">
        <v>55</v>
      </c>
      <c r="P364" s="7"/>
      <c r="Q364" s="16" t="s">
        <v>55</v>
      </c>
      <c r="R364" s="16" t="s">
        <v>55</v>
      </c>
      <c r="S364" s="16" t="s">
        <v>55</v>
      </c>
      <c r="T364" s="16" t="s">
        <v>55</v>
      </c>
      <c r="U364" s="16" t="s">
        <v>55</v>
      </c>
      <c r="V364" s="16" t="s">
        <v>127</v>
      </c>
      <c r="W364" s="16"/>
      <c r="X364" s="6"/>
      <c r="Y364" s="6"/>
      <c r="Z364" s="6"/>
    </row>
    <row r="365" ht="15.0" customHeight="1">
      <c r="A365" s="7" t="s">
        <v>1874</v>
      </c>
      <c r="B365" s="7" t="s">
        <v>1875</v>
      </c>
      <c r="C365" s="7" t="s">
        <v>1876</v>
      </c>
      <c r="D365" s="7" t="s">
        <v>210</v>
      </c>
      <c r="E365" s="7" t="s">
        <v>107</v>
      </c>
      <c r="F365" s="7" t="s">
        <v>92</v>
      </c>
      <c r="G365" s="7" t="s">
        <v>55</v>
      </c>
      <c r="H365" s="7" t="s">
        <v>55</v>
      </c>
      <c r="I365" s="7" t="s">
        <v>55</v>
      </c>
      <c r="J365" s="7" t="s">
        <v>55</v>
      </c>
      <c r="K365" s="11" t="s">
        <v>1877</v>
      </c>
      <c r="L365" s="14" t="str">
        <f t="shared" si="1"/>
        <v>Não</v>
      </c>
      <c r="M365" s="7"/>
      <c r="N365" s="7"/>
      <c r="O365" s="7" t="s">
        <v>55</v>
      </c>
      <c r="P365" s="7"/>
      <c r="Q365" s="16" t="s">
        <v>55</v>
      </c>
      <c r="R365" s="16" t="s">
        <v>55</v>
      </c>
      <c r="S365" s="16" t="s">
        <v>55</v>
      </c>
      <c r="T365" s="16" t="s">
        <v>55</v>
      </c>
      <c r="U365" s="16" t="s">
        <v>55</v>
      </c>
      <c r="V365" s="16" t="s">
        <v>127</v>
      </c>
      <c r="W365" s="16" t="s">
        <v>1878</v>
      </c>
      <c r="X365" s="6"/>
      <c r="Y365" s="6"/>
      <c r="Z365" s="6"/>
    </row>
    <row r="366" ht="15.0" customHeight="1">
      <c r="A366" s="7" t="s">
        <v>1879</v>
      </c>
      <c r="B366" s="7" t="s">
        <v>1880</v>
      </c>
      <c r="C366" s="7" t="s">
        <v>1881</v>
      </c>
      <c r="D366" s="7" t="s">
        <v>210</v>
      </c>
      <c r="E366" s="7" t="s">
        <v>107</v>
      </c>
      <c r="F366" s="7" t="s">
        <v>92</v>
      </c>
      <c r="G366" s="7" t="s">
        <v>55</v>
      </c>
      <c r="H366" s="7" t="s">
        <v>55</v>
      </c>
      <c r="I366" s="7" t="s">
        <v>55</v>
      </c>
      <c r="J366" s="7" t="s">
        <v>55</v>
      </c>
      <c r="K366" s="11" t="s">
        <v>1882</v>
      </c>
      <c r="L366" s="14" t="str">
        <f t="shared" si="1"/>
        <v>Não</v>
      </c>
      <c r="M366" s="7"/>
      <c r="N366" s="7"/>
      <c r="O366" s="7" t="s">
        <v>55</v>
      </c>
      <c r="P366" s="7"/>
      <c r="Q366" s="16" t="s">
        <v>55</v>
      </c>
      <c r="R366" s="16" t="s">
        <v>55</v>
      </c>
      <c r="S366" s="16" t="s">
        <v>55</v>
      </c>
      <c r="T366" s="16" t="s">
        <v>55</v>
      </c>
      <c r="U366" s="16" t="s">
        <v>55</v>
      </c>
      <c r="V366" s="16" t="s">
        <v>127</v>
      </c>
      <c r="W366" s="16" t="s">
        <v>1883</v>
      </c>
      <c r="X366" s="6"/>
      <c r="Y366" s="6"/>
      <c r="Z366" s="6"/>
    </row>
    <row r="367" ht="15.0" customHeight="1">
      <c r="A367" s="7" t="s">
        <v>1884</v>
      </c>
      <c r="B367" s="7" t="s">
        <v>1885</v>
      </c>
      <c r="C367" s="7" t="s">
        <v>1886</v>
      </c>
      <c r="D367" s="7" t="s">
        <v>210</v>
      </c>
      <c r="E367" s="7" t="s">
        <v>107</v>
      </c>
      <c r="F367" s="7" t="s">
        <v>92</v>
      </c>
      <c r="G367" s="7" t="s">
        <v>55</v>
      </c>
      <c r="H367" s="7" t="s">
        <v>55</v>
      </c>
      <c r="I367" s="7" t="s">
        <v>55</v>
      </c>
      <c r="J367" s="7" t="s">
        <v>55</v>
      </c>
      <c r="K367" s="11" t="s">
        <v>1887</v>
      </c>
      <c r="L367" s="14" t="str">
        <f t="shared" si="1"/>
        <v>Não</v>
      </c>
      <c r="M367" s="7"/>
      <c r="N367" s="7"/>
      <c r="O367" s="7" t="s">
        <v>55</v>
      </c>
      <c r="P367" s="7"/>
      <c r="Q367" s="16" t="s">
        <v>55</v>
      </c>
      <c r="R367" s="16" t="s">
        <v>55</v>
      </c>
      <c r="S367" s="16" t="s">
        <v>55</v>
      </c>
      <c r="T367" s="16" t="s">
        <v>55</v>
      </c>
      <c r="U367" s="16" t="s">
        <v>55</v>
      </c>
      <c r="V367" s="16" t="s">
        <v>127</v>
      </c>
      <c r="W367" s="16" t="s">
        <v>1888</v>
      </c>
      <c r="X367" s="6"/>
      <c r="Y367" s="6"/>
      <c r="Z367" s="6"/>
    </row>
    <row r="368" ht="15.0" customHeight="1">
      <c r="A368" s="7" t="s">
        <v>1889</v>
      </c>
      <c r="B368" s="7" t="s">
        <v>1890</v>
      </c>
      <c r="C368" s="7" t="s">
        <v>1891</v>
      </c>
      <c r="D368" s="7" t="s">
        <v>210</v>
      </c>
      <c r="E368" s="7" t="s">
        <v>107</v>
      </c>
      <c r="F368" s="7" t="s">
        <v>92</v>
      </c>
      <c r="G368" s="7" t="s">
        <v>57</v>
      </c>
      <c r="H368" s="7" t="s">
        <v>55</v>
      </c>
      <c r="I368" s="7" t="s">
        <v>55</v>
      </c>
      <c r="J368" s="7" t="s">
        <v>55</v>
      </c>
      <c r="K368" s="7"/>
      <c r="L368" s="14" t="str">
        <f t="shared" si="1"/>
        <v>Não</v>
      </c>
      <c r="M368" s="7"/>
      <c r="N368" s="7"/>
      <c r="O368" s="7" t="s">
        <v>55</v>
      </c>
      <c r="P368" s="7"/>
      <c r="Q368" s="16" t="s">
        <v>57</v>
      </c>
      <c r="R368" s="16" t="s">
        <v>55</v>
      </c>
      <c r="S368" s="16" t="s">
        <v>55</v>
      </c>
      <c r="T368" s="16" t="s">
        <v>55</v>
      </c>
      <c r="U368" s="16" t="s">
        <v>57</v>
      </c>
      <c r="V368" s="16" t="s">
        <v>225</v>
      </c>
      <c r="W368" s="16"/>
      <c r="X368" s="6"/>
      <c r="Y368" s="6"/>
      <c r="Z368" s="6"/>
    </row>
    <row r="369" ht="15.0" customHeight="1">
      <c r="A369" s="7" t="s">
        <v>1893</v>
      </c>
      <c r="B369" s="7" t="s">
        <v>1894</v>
      </c>
      <c r="C369" s="7" t="s">
        <v>1895</v>
      </c>
      <c r="D369" s="7" t="s">
        <v>210</v>
      </c>
      <c r="E369" s="7" t="s">
        <v>107</v>
      </c>
      <c r="F369" s="7" t="s">
        <v>92</v>
      </c>
      <c r="G369" s="7" t="s">
        <v>55</v>
      </c>
      <c r="H369" s="7" t="s">
        <v>55</v>
      </c>
      <c r="I369" s="7" t="s">
        <v>55</v>
      </c>
      <c r="J369" s="7" t="s">
        <v>55</v>
      </c>
      <c r="K369" s="7"/>
      <c r="L369" s="14" t="str">
        <f t="shared" si="1"/>
        <v>Sim</v>
      </c>
      <c r="M369" s="7"/>
      <c r="N369" s="7"/>
      <c r="O369" s="7" t="s">
        <v>55</v>
      </c>
      <c r="P369" s="7"/>
      <c r="Q369" s="16" t="s">
        <v>55</v>
      </c>
      <c r="R369" s="16" t="s">
        <v>55</v>
      </c>
      <c r="S369" s="16" t="s">
        <v>55</v>
      </c>
      <c r="T369" s="16" t="s">
        <v>55</v>
      </c>
      <c r="U369" s="16" t="s">
        <v>55</v>
      </c>
      <c r="V369" s="16" t="s">
        <v>127</v>
      </c>
      <c r="W369" s="16"/>
      <c r="X369" s="6"/>
      <c r="Y369" s="6"/>
      <c r="Z369" s="6"/>
    </row>
    <row r="370" ht="15.0" customHeight="1">
      <c r="A370" s="7" t="s">
        <v>1900</v>
      </c>
      <c r="B370" s="7" t="s">
        <v>1901</v>
      </c>
      <c r="C370" s="7" t="s">
        <v>1902</v>
      </c>
      <c r="D370" s="7" t="s">
        <v>210</v>
      </c>
      <c r="E370" s="7" t="s">
        <v>107</v>
      </c>
      <c r="F370" s="7" t="s">
        <v>92</v>
      </c>
      <c r="G370" s="7" t="s">
        <v>55</v>
      </c>
      <c r="H370" s="7" t="s">
        <v>55</v>
      </c>
      <c r="I370" s="7" t="s">
        <v>55</v>
      </c>
      <c r="J370" s="7" t="s">
        <v>55</v>
      </c>
      <c r="K370" s="7"/>
      <c r="L370" s="14" t="str">
        <f t="shared" si="1"/>
        <v>Sim</v>
      </c>
      <c r="M370" s="7"/>
      <c r="N370" s="7"/>
      <c r="O370" s="7" t="s">
        <v>55</v>
      </c>
      <c r="P370" s="7"/>
      <c r="Q370" s="16" t="s">
        <v>55</v>
      </c>
      <c r="R370" s="16" t="s">
        <v>55</v>
      </c>
      <c r="S370" s="16" t="s">
        <v>55</v>
      </c>
      <c r="T370" s="16" t="s">
        <v>55</v>
      </c>
      <c r="U370" s="16" t="s">
        <v>55</v>
      </c>
      <c r="V370" s="16" t="s">
        <v>127</v>
      </c>
      <c r="W370" s="16"/>
      <c r="X370" s="6"/>
      <c r="Y370" s="6"/>
      <c r="Z370" s="6"/>
    </row>
    <row r="371" ht="15.0" customHeight="1">
      <c r="A371" s="7" t="s">
        <v>1906</v>
      </c>
      <c r="B371" s="7" t="s">
        <v>1907</v>
      </c>
      <c r="C371" s="7" t="s">
        <v>1908</v>
      </c>
      <c r="D371" s="7" t="s">
        <v>210</v>
      </c>
      <c r="E371" s="7" t="s">
        <v>107</v>
      </c>
      <c r="F371" s="7" t="s">
        <v>92</v>
      </c>
      <c r="G371" s="7" t="s">
        <v>55</v>
      </c>
      <c r="H371" s="7" t="s">
        <v>55</v>
      </c>
      <c r="I371" s="7" t="s">
        <v>55</v>
      </c>
      <c r="J371" s="7" t="s">
        <v>55</v>
      </c>
      <c r="K371" s="7"/>
      <c r="L371" s="14" t="str">
        <f t="shared" si="1"/>
        <v>Sim</v>
      </c>
      <c r="M371" s="7"/>
      <c r="N371" s="7"/>
      <c r="O371" s="7" t="s">
        <v>55</v>
      </c>
      <c r="P371" s="7"/>
      <c r="Q371" s="16" t="s">
        <v>55</v>
      </c>
      <c r="R371" s="16" t="s">
        <v>55</v>
      </c>
      <c r="S371" s="16" t="s">
        <v>55</v>
      </c>
      <c r="T371" s="16" t="s">
        <v>55</v>
      </c>
      <c r="U371" s="16" t="s">
        <v>55</v>
      </c>
      <c r="V371" s="16" t="s">
        <v>127</v>
      </c>
      <c r="W371" s="16"/>
      <c r="X371" s="6"/>
      <c r="Y371" s="6"/>
      <c r="Z371" s="6"/>
    </row>
    <row r="372" ht="15.0" customHeight="1">
      <c r="A372" s="7" t="s">
        <v>1909</v>
      </c>
      <c r="B372" s="7" t="s">
        <v>1910</v>
      </c>
      <c r="C372" s="7" t="s">
        <v>1911</v>
      </c>
      <c r="D372" s="7" t="s">
        <v>210</v>
      </c>
      <c r="E372" s="7" t="s">
        <v>107</v>
      </c>
      <c r="F372" s="7" t="s">
        <v>92</v>
      </c>
      <c r="G372" s="7" t="s">
        <v>55</v>
      </c>
      <c r="H372" s="7" t="s">
        <v>55</v>
      </c>
      <c r="I372" s="7" t="s">
        <v>55</v>
      </c>
      <c r="J372" s="7" t="s">
        <v>55</v>
      </c>
      <c r="K372" s="7"/>
      <c r="L372" s="14" t="str">
        <f t="shared" si="1"/>
        <v>Sim</v>
      </c>
      <c r="M372" s="7"/>
      <c r="N372" s="7"/>
      <c r="O372" s="7" t="s">
        <v>55</v>
      </c>
      <c r="P372" s="7"/>
      <c r="Q372" s="16" t="s">
        <v>55</v>
      </c>
      <c r="R372" s="16" t="s">
        <v>55</v>
      </c>
      <c r="S372" s="16" t="s">
        <v>55</v>
      </c>
      <c r="T372" s="16" t="s">
        <v>55</v>
      </c>
      <c r="U372" s="16" t="s">
        <v>55</v>
      </c>
      <c r="V372" s="16" t="s">
        <v>127</v>
      </c>
      <c r="W372" s="16"/>
      <c r="X372" s="6"/>
      <c r="Y372" s="6"/>
      <c r="Z372" s="6"/>
    </row>
    <row r="373" ht="30.75" customHeight="1">
      <c r="A373" s="7" t="s">
        <v>1913</v>
      </c>
      <c r="B373" s="7" t="s">
        <v>1914</v>
      </c>
      <c r="C373" s="7" t="s">
        <v>1915</v>
      </c>
      <c r="D373" s="7" t="s">
        <v>210</v>
      </c>
      <c r="E373" s="7" t="s">
        <v>107</v>
      </c>
      <c r="F373" s="7" t="s">
        <v>92</v>
      </c>
      <c r="G373" s="7" t="s">
        <v>55</v>
      </c>
      <c r="H373" s="7" t="s">
        <v>55</v>
      </c>
      <c r="I373" s="7" t="s">
        <v>55</v>
      </c>
      <c r="J373" s="7" t="s">
        <v>55</v>
      </c>
      <c r="K373" s="11" t="s">
        <v>1916</v>
      </c>
      <c r="L373" s="14" t="str">
        <f t="shared" si="1"/>
        <v>Não</v>
      </c>
      <c r="M373" s="7"/>
      <c r="N373" s="7"/>
      <c r="O373" s="7" t="s">
        <v>55</v>
      </c>
      <c r="P373" s="7"/>
      <c r="Q373" s="16" t="s">
        <v>55</v>
      </c>
      <c r="R373" s="16" t="s">
        <v>55</v>
      </c>
      <c r="S373" s="16" t="s">
        <v>55</v>
      </c>
      <c r="T373" s="16" t="s">
        <v>55</v>
      </c>
      <c r="U373" s="16" t="s">
        <v>55</v>
      </c>
      <c r="V373" s="16" t="s">
        <v>127</v>
      </c>
      <c r="W373" s="16" t="s">
        <v>1917</v>
      </c>
      <c r="X373" s="6"/>
      <c r="Y373" s="6"/>
      <c r="Z373" s="6"/>
    </row>
    <row r="374" ht="27.0" customHeight="1">
      <c r="A374" s="7" t="s">
        <v>1918</v>
      </c>
      <c r="B374" s="7" t="s">
        <v>1919</v>
      </c>
      <c r="C374" s="7" t="s">
        <v>1920</v>
      </c>
      <c r="D374" s="7" t="s">
        <v>210</v>
      </c>
      <c r="E374" s="7" t="s">
        <v>138</v>
      </c>
      <c r="F374" s="7" t="s">
        <v>92</v>
      </c>
      <c r="G374" s="7" t="s">
        <v>55</v>
      </c>
      <c r="H374" s="7" t="s">
        <v>55</v>
      </c>
      <c r="I374" s="7" t="s">
        <v>55</v>
      </c>
      <c r="J374" s="7" t="s">
        <v>55</v>
      </c>
      <c r="K374" s="11" t="s">
        <v>1921</v>
      </c>
      <c r="L374" s="14" t="str">
        <f t="shared" si="1"/>
        <v>Não</v>
      </c>
      <c r="M374" s="7"/>
      <c r="N374" s="7"/>
      <c r="O374" s="7" t="s">
        <v>55</v>
      </c>
      <c r="P374" s="7"/>
      <c r="Q374" s="16" t="s">
        <v>55</v>
      </c>
      <c r="R374" s="16" t="s">
        <v>55</v>
      </c>
      <c r="S374" s="16" t="s">
        <v>55</v>
      </c>
      <c r="T374" s="16" t="s">
        <v>55</v>
      </c>
      <c r="U374" s="16" t="s">
        <v>55</v>
      </c>
      <c r="V374" s="16" t="s">
        <v>127</v>
      </c>
      <c r="W374" s="16" t="s">
        <v>1922</v>
      </c>
      <c r="X374" s="6"/>
      <c r="Y374" s="6"/>
      <c r="Z374" s="6"/>
    </row>
    <row r="375" ht="30.0" customHeight="1">
      <c r="A375" s="7" t="s">
        <v>1923</v>
      </c>
      <c r="B375" s="7" t="s">
        <v>1919</v>
      </c>
      <c r="C375" s="7" t="s">
        <v>1920</v>
      </c>
      <c r="D375" s="7" t="s">
        <v>210</v>
      </c>
      <c r="E375" s="7" t="s">
        <v>138</v>
      </c>
      <c r="F375" s="7" t="s">
        <v>92</v>
      </c>
      <c r="G375" s="7" t="s">
        <v>55</v>
      </c>
      <c r="H375" s="7" t="s">
        <v>55</v>
      </c>
      <c r="I375" s="7" t="s">
        <v>55</v>
      </c>
      <c r="J375" s="7" t="s">
        <v>55</v>
      </c>
      <c r="K375" s="11" t="s">
        <v>1924</v>
      </c>
      <c r="L375" s="14" t="str">
        <f t="shared" si="1"/>
        <v>Não</v>
      </c>
      <c r="M375" s="7"/>
      <c r="N375" s="7"/>
      <c r="O375" s="7" t="s">
        <v>55</v>
      </c>
      <c r="P375" s="7"/>
      <c r="Q375" s="16" t="s">
        <v>55</v>
      </c>
      <c r="R375" s="16" t="s">
        <v>55</v>
      </c>
      <c r="S375" s="16" t="s">
        <v>55</v>
      </c>
      <c r="T375" s="16" t="s">
        <v>55</v>
      </c>
      <c r="U375" s="16" t="s">
        <v>55</v>
      </c>
      <c r="V375" s="16" t="s">
        <v>127</v>
      </c>
      <c r="W375" s="16" t="s">
        <v>1925</v>
      </c>
      <c r="X375" s="6"/>
      <c r="Y375" s="6"/>
      <c r="Z375" s="6"/>
    </row>
    <row r="376" ht="15.0" customHeight="1">
      <c r="A376" s="7" t="s">
        <v>1926</v>
      </c>
      <c r="B376" s="7" t="s">
        <v>1927</v>
      </c>
      <c r="C376" s="7" t="s">
        <v>1928</v>
      </c>
      <c r="D376" s="7" t="s">
        <v>210</v>
      </c>
      <c r="E376" s="7" t="s">
        <v>107</v>
      </c>
      <c r="F376" s="7" t="s">
        <v>92</v>
      </c>
      <c r="G376" s="7" t="s">
        <v>57</v>
      </c>
      <c r="H376" s="7" t="s">
        <v>55</v>
      </c>
      <c r="I376" s="7" t="s">
        <v>55</v>
      </c>
      <c r="J376" s="7" t="s">
        <v>55</v>
      </c>
      <c r="K376" s="7"/>
      <c r="L376" s="14" t="str">
        <f t="shared" si="1"/>
        <v>Não</v>
      </c>
      <c r="M376" s="7"/>
      <c r="N376" s="7"/>
      <c r="O376" s="7" t="s">
        <v>55</v>
      </c>
      <c r="P376" s="7"/>
      <c r="Q376" s="16" t="s">
        <v>57</v>
      </c>
      <c r="R376" s="16" t="s">
        <v>55</v>
      </c>
      <c r="S376" s="16" t="s">
        <v>55</v>
      </c>
      <c r="T376" s="16" t="s">
        <v>55</v>
      </c>
      <c r="U376" s="16" t="s">
        <v>57</v>
      </c>
      <c r="V376" s="16" t="s">
        <v>225</v>
      </c>
      <c r="W376" s="16"/>
      <c r="X376" s="6"/>
      <c r="Y376" s="6"/>
      <c r="Z376" s="6"/>
    </row>
    <row r="377" ht="27.0" customHeight="1">
      <c r="A377" s="7" t="s">
        <v>1929</v>
      </c>
      <c r="B377" s="7" t="s">
        <v>1930</v>
      </c>
      <c r="C377" s="7" t="s">
        <v>1931</v>
      </c>
      <c r="D377" s="7" t="s">
        <v>210</v>
      </c>
      <c r="E377" s="7" t="s">
        <v>48</v>
      </c>
      <c r="F377" s="7" t="s">
        <v>92</v>
      </c>
      <c r="G377" s="7" t="s">
        <v>55</v>
      </c>
      <c r="H377" s="7" t="s">
        <v>55</v>
      </c>
      <c r="I377" s="7" t="s">
        <v>55</v>
      </c>
      <c r="J377" s="7" t="s">
        <v>55</v>
      </c>
      <c r="K377" s="11" t="s">
        <v>1932</v>
      </c>
      <c r="L377" s="14" t="str">
        <f t="shared" si="1"/>
        <v>Não</v>
      </c>
      <c r="M377" s="7"/>
      <c r="N377" s="7"/>
      <c r="O377" s="7" t="s">
        <v>55</v>
      </c>
      <c r="P377" s="7"/>
      <c r="Q377" s="16" t="s">
        <v>55</v>
      </c>
      <c r="R377" s="16" t="s">
        <v>55</v>
      </c>
      <c r="S377" s="16" t="s">
        <v>55</v>
      </c>
      <c r="T377" s="16" t="s">
        <v>55</v>
      </c>
      <c r="U377" s="16" t="s">
        <v>55</v>
      </c>
      <c r="V377" s="16" t="s">
        <v>127</v>
      </c>
      <c r="W377" s="16" t="s">
        <v>1933</v>
      </c>
      <c r="X377" s="6"/>
      <c r="Y377" s="6"/>
      <c r="Z377" s="6"/>
    </row>
    <row r="378" ht="30.0" customHeight="1">
      <c r="A378" s="7" t="s">
        <v>1934</v>
      </c>
      <c r="B378" s="7" t="s">
        <v>1935</v>
      </c>
      <c r="C378" s="7" t="s">
        <v>1936</v>
      </c>
      <c r="D378" s="7" t="s">
        <v>210</v>
      </c>
      <c r="E378" s="7" t="s">
        <v>85</v>
      </c>
      <c r="F378" s="7" t="s">
        <v>92</v>
      </c>
      <c r="G378" s="7" t="s">
        <v>55</v>
      </c>
      <c r="H378" s="7" t="s">
        <v>55</v>
      </c>
      <c r="I378" s="7" t="s">
        <v>55</v>
      </c>
      <c r="J378" s="7" t="s">
        <v>55</v>
      </c>
      <c r="K378" s="11" t="s">
        <v>1937</v>
      </c>
      <c r="L378" s="14" t="str">
        <f t="shared" si="1"/>
        <v>Não</v>
      </c>
      <c r="M378" s="7"/>
      <c r="N378" s="7"/>
      <c r="O378" s="7" t="s">
        <v>55</v>
      </c>
      <c r="P378" s="7"/>
      <c r="Q378" s="16" t="s">
        <v>55</v>
      </c>
      <c r="R378" s="16" t="s">
        <v>55</v>
      </c>
      <c r="S378" s="16" t="s">
        <v>55</v>
      </c>
      <c r="T378" s="16" t="s">
        <v>55</v>
      </c>
      <c r="U378" s="16" t="s">
        <v>55</v>
      </c>
      <c r="V378" s="16" t="s">
        <v>127</v>
      </c>
      <c r="W378" s="16" t="s">
        <v>1938</v>
      </c>
      <c r="X378" s="6"/>
      <c r="Y378" s="6"/>
      <c r="Z378" s="6"/>
    </row>
    <row r="379" ht="15.0" customHeight="1">
      <c r="A379" s="7" t="s">
        <v>1939</v>
      </c>
      <c r="B379" s="7" t="s">
        <v>1940</v>
      </c>
      <c r="C379" s="7" t="s">
        <v>1941</v>
      </c>
      <c r="D379" s="7" t="s">
        <v>210</v>
      </c>
      <c r="E379" s="7" t="s">
        <v>107</v>
      </c>
      <c r="F379" s="7" t="s">
        <v>92</v>
      </c>
      <c r="G379" s="7" t="s">
        <v>55</v>
      </c>
      <c r="H379" s="7" t="s">
        <v>55</v>
      </c>
      <c r="I379" s="7" t="s">
        <v>55</v>
      </c>
      <c r="J379" s="7" t="s">
        <v>55</v>
      </c>
      <c r="K379" s="7"/>
      <c r="L379" s="14" t="str">
        <f t="shared" si="1"/>
        <v>Sim</v>
      </c>
      <c r="M379" s="7"/>
      <c r="N379" s="7"/>
      <c r="O379" s="7" t="s">
        <v>55</v>
      </c>
      <c r="P379" s="7"/>
      <c r="Q379" s="16" t="s">
        <v>55</v>
      </c>
      <c r="R379" s="16" t="s">
        <v>55</v>
      </c>
      <c r="S379" s="16" t="s">
        <v>55</v>
      </c>
      <c r="T379" s="16" t="s">
        <v>55</v>
      </c>
      <c r="U379" s="16" t="s">
        <v>55</v>
      </c>
      <c r="V379" s="16" t="s">
        <v>127</v>
      </c>
      <c r="W379" s="16"/>
      <c r="X379" s="6"/>
      <c r="Y379" s="6"/>
      <c r="Z379" s="6"/>
    </row>
    <row r="380" ht="15.0" customHeight="1">
      <c r="A380" s="7" t="s">
        <v>1942</v>
      </c>
      <c r="B380" s="7" t="s">
        <v>1943</v>
      </c>
      <c r="C380" s="7" t="s">
        <v>1944</v>
      </c>
      <c r="D380" s="7" t="s">
        <v>210</v>
      </c>
      <c r="E380" s="7" t="s">
        <v>202</v>
      </c>
      <c r="F380" s="7" t="s">
        <v>92</v>
      </c>
      <c r="G380" s="7" t="s">
        <v>57</v>
      </c>
      <c r="H380" s="7" t="s">
        <v>55</v>
      </c>
      <c r="I380" s="7" t="s">
        <v>55</v>
      </c>
      <c r="J380" s="7" t="s">
        <v>55</v>
      </c>
      <c r="K380" s="7"/>
      <c r="L380" s="14" t="str">
        <f t="shared" si="1"/>
        <v>Não</v>
      </c>
      <c r="M380" s="7"/>
      <c r="N380" s="7"/>
      <c r="O380" s="7" t="s">
        <v>55</v>
      </c>
      <c r="P380" s="7"/>
      <c r="Q380" s="16" t="s">
        <v>57</v>
      </c>
      <c r="R380" s="16" t="s">
        <v>55</v>
      </c>
      <c r="S380" s="16" t="s">
        <v>55</v>
      </c>
      <c r="T380" s="16" t="s">
        <v>55</v>
      </c>
      <c r="U380" s="16" t="s">
        <v>57</v>
      </c>
      <c r="V380" s="16" t="s">
        <v>225</v>
      </c>
      <c r="W380" s="16"/>
      <c r="X380" s="6"/>
      <c r="Y380" s="6"/>
      <c r="Z380" s="6"/>
    </row>
    <row r="381" ht="15.0" customHeight="1">
      <c r="A381" s="7" t="s">
        <v>1945</v>
      </c>
      <c r="B381" s="7" t="s">
        <v>1946</v>
      </c>
      <c r="C381" s="7" t="s">
        <v>1947</v>
      </c>
      <c r="D381" s="7" t="s">
        <v>210</v>
      </c>
      <c r="E381" s="7" t="s">
        <v>107</v>
      </c>
      <c r="F381" s="7" t="s">
        <v>92</v>
      </c>
      <c r="G381" s="7" t="s">
        <v>55</v>
      </c>
      <c r="H381" s="7" t="s">
        <v>55</v>
      </c>
      <c r="I381" s="7" t="s">
        <v>55</v>
      </c>
      <c r="J381" s="7" t="s">
        <v>55</v>
      </c>
      <c r="K381" s="7"/>
      <c r="L381" s="14" t="str">
        <f t="shared" si="1"/>
        <v>Sim</v>
      </c>
      <c r="M381" s="7"/>
      <c r="N381" s="7"/>
      <c r="O381" s="7" t="s">
        <v>55</v>
      </c>
      <c r="P381" s="7"/>
      <c r="Q381" s="16" t="s">
        <v>55</v>
      </c>
      <c r="R381" s="16" t="s">
        <v>55</v>
      </c>
      <c r="S381" s="16" t="s">
        <v>55</v>
      </c>
      <c r="T381" s="16" t="s">
        <v>55</v>
      </c>
      <c r="U381" s="16" t="s">
        <v>55</v>
      </c>
      <c r="V381" s="16" t="s">
        <v>184</v>
      </c>
      <c r="W381" s="16"/>
      <c r="X381" s="6"/>
      <c r="Y381" s="6"/>
      <c r="Z381" s="6"/>
    </row>
    <row r="382" ht="15.0" customHeight="1">
      <c r="A382" s="7" t="s">
        <v>1951</v>
      </c>
      <c r="B382" s="7" t="s">
        <v>1952</v>
      </c>
      <c r="C382" s="7" t="s">
        <v>1953</v>
      </c>
      <c r="D382" s="7" t="s">
        <v>210</v>
      </c>
      <c r="E382" s="7" t="s">
        <v>107</v>
      </c>
      <c r="F382" s="7" t="s">
        <v>92</v>
      </c>
      <c r="G382" s="7" t="s">
        <v>55</v>
      </c>
      <c r="H382" s="7" t="s">
        <v>57</v>
      </c>
      <c r="I382" s="7" t="s">
        <v>57</v>
      </c>
      <c r="J382" s="7" t="s">
        <v>55</v>
      </c>
      <c r="K382" s="7"/>
      <c r="L382" s="14" t="str">
        <f t="shared" si="1"/>
        <v>Não</v>
      </c>
      <c r="M382" s="7"/>
      <c r="N382" s="7"/>
      <c r="O382" s="7" t="s">
        <v>55</v>
      </c>
      <c r="P382" s="7"/>
      <c r="Q382" s="16" t="s">
        <v>55</v>
      </c>
      <c r="R382" s="16" t="s">
        <v>57</v>
      </c>
      <c r="S382" s="16" t="s">
        <v>57</v>
      </c>
      <c r="T382" s="16" t="s">
        <v>55</v>
      </c>
      <c r="U382" s="16" t="s">
        <v>57</v>
      </c>
      <c r="V382" s="16" t="s">
        <v>99</v>
      </c>
      <c r="W382" s="16"/>
      <c r="X382" s="6"/>
      <c r="Y382" s="6"/>
      <c r="Z382" s="6"/>
    </row>
    <row r="383" ht="15.0" customHeight="1">
      <c r="A383" s="7" t="s">
        <v>1954</v>
      </c>
      <c r="B383" s="7" t="s">
        <v>1955</v>
      </c>
      <c r="C383" s="7" t="s">
        <v>1956</v>
      </c>
      <c r="D383" s="7" t="s">
        <v>210</v>
      </c>
      <c r="E383" s="7" t="s">
        <v>306</v>
      </c>
      <c r="F383" s="7" t="s">
        <v>92</v>
      </c>
      <c r="G383" s="7" t="s">
        <v>55</v>
      </c>
      <c r="H383" s="7" t="s">
        <v>55</v>
      </c>
      <c r="I383" s="7" t="s">
        <v>55</v>
      </c>
      <c r="J383" s="7" t="s">
        <v>55</v>
      </c>
      <c r="K383" s="11" t="s">
        <v>1957</v>
      </c>
      <c r="L383" s="14" t="str">
        <f t="shared" si="1"/>
        <v>Não</v>
      </c>
      <c r="M383" s="7"/>
      <c r="N383" s="7"/>
      <c r="O383" s="7" t="s">
        <v>55</v>
      </c>
      <c r="P383" s="7"/>
      <c r="Q383" s="16" t="s">
        <v>55</v>
      </c>
      <c r="R383" s="16" t="s">
        <v>55</v>
      </c>
      <c r="S383" s="16" t="s">
        <v>55</v>
      </c>
      <c r="T383" s="16" t="s">
        <v>55</v>
      </c>
      <c r="U383" s="16" t="s">
        <v>55</v>
      </c>
      <c r="V383" s="16" t="s">
        <v>127</v>
      </c>
      <c r="W383" s="16" t="s">
        <v>1960</v>
      </c>
      <c r="X383" s="6"/>
      <c r="Y383" s="6"/>
      <c r="Z383" s="6"/>
    </row>
    <row r="384" ht="31.5" customHeight="1">
      <c r="A384" s="7" t="s">
        <v>1961</v>
      </c>
      <c r="B384" s="7" t="s">
        <v>1962</v>
      </c>
      <c r="C384" s="7" t="s">
        <v>1963</v>
      </c>
      <c r="D384" s="7" t="s">
        <v>210</v>
      </c>
      <c r="E384" s="7" t="s">
        <v>286</v>
      </c>
      <c r="F384" s="7" t="s">
        <v>92</v>
      </c>
      <c r="G384" s="7" t="s">
        <v>55</v>
      </c>
      <c r="H384" s="7" t="s">
        <v>55</v>
      </c>
      <c r="I384" s="7" t="s">
        <v>55</v>
      </c>
      <c r="J384" s="7" t="s">
        <v>55</v>
      </c>
      <c r="K384" s="11" t="s">
        <v>1964</v>
      </c>
      <c r="L384" s="14" t="str">
        <f t="shared" si="1"/>
        <v>Não</v>
      </c>
      <c r="M384" s="7"/>
      <c r="N384" s="7"/>
      <c r="O384" s="7" t="s">
        <v>55</v>
      </c>
      <c r="P384" s="7"/>
      <c r="Q384" s="16" t="s">
        <v>55</v>
      </c>
      <c r="R384" s="16" t="s">
        <v>55</v>
      </c>
      <c r="S384" s="16" t="s">
        <v>55</v>
      </c>
      <c r="T384" s="16" t="s">
        <v>55</v>
      </c>
      <c r="U384" s="16" t="s">
        <v>55</v>
      </c>
      <c r="V384" s="16" t="s">
        <v>127</v>
      </c>
      <c r="W384" s="16" t="s">
        <v>1965</v>
      </c>
      <c r="X384" s="6"/>
      <c r="Y384" s="6"/>
      <c r="Z384" s="6"/>
    </row>
    <row r="385" ht="15.0" customHeight="1">
      <c r="A385" s="7" t="s">
        <v>1966</v>
      </c>
      <c r="B385" s="7" t="s">
        <v>1967</v>
      </c>
      <c r="C385" s="7" t="s">
        <v>1968</v>
      </c>
      <c r="D385" s="7" t="s">
        <v>200</v>
      </c>
      <c r="E385" s="7" t="s">
        <v>148</v>
      </c>
      <c r="F385" s="7" t="s">
        <v>92</v>
      </c>
      <c r="G385" s="7" t="s">
        <v>57</v>
      </c>
      <c r="H385" s="7" t="s">
        <v>55</v>
      </c>
      <c r="I385" s="7" t="s">
        <v>55</v>
      </c>
      <c r="J385" s="7" t="s">
        <v>55</v>
      </c>
      <c r="K385" s="7"/>
      <c r="L385" s="14" t="str">
        <f t="shared" si="1"/>
        <v>Não</v>
      </c>
      <c r="M385" s="7"/>
      <c r="N385" s="7"/>
      <c r="O385" s="7" t="s">
        <v>55</v>
      </c>
      <c r="P385" s="7"/>
      <c r="Q385" s="16" t="s">
        <v>57</v>
      </c>
      <c r="R385" s="16" t="s">
        <v>55</v>
      </c>
      <c r="S385" s="16" t="s">
        <v>55</v>
      </c>
      <c r="T385" s="16" t="s">
        <v>55</v>
      </c>
      <c r="U385" s="16" t="s">
        <v>57</v>
      </c>
      <c r="V385" s="16" t="s">
        <v>225</v>
      </c>
      <c r="W385" s="16"/>
      <c r="X385" s="6"/>
      <c r="Y385" s="6"/>
      <c r="Z385" s="6"/>
    </row>
    <row r="386" ht="15.0" customHeight="1">
      <c r="A386" s="7" t="s">
        <v>1970</v>
      </c>
      <c r="B386" s="7" t="s">
        <v>1971</v>
      </c>
      <c r="C386" s="7" t="s">
        <v>1972</v>
      </c>
      <c r="D386" s="7" t="s">
        <v>200</v>
      </c>
      <c r="E386" s="7" t="s">
        <v>194</v>
      </c>
      <c r="F386" s="7" t="s">
        <v>92</v>
      </c>
      <c r="G386" s="7" t="s">
        <v>57</v>
      </c>
      <c r="H386" s="7" t="s">
        <v>55</v>
      </c>
      <c r="I386" s="7" t="s">
        <v>55</v>
      </c>
      <c r="J386" s="7" t="s">
        <v>55</v>
      </c>
      <c r="K386" s="7"/>
      <c r="L386" s="14" t="str">
        <f t="shared" si="1"/>
        <v>Não</v>
      </c>
      <c r="M386" s="7"/>
      <c r="N386" s="7"/>
      <c r="O386" s="7" t="s">
        <v>55</v>
      </c>
      <c r="P386" s="7"/>
      <c r="Q386" s="16" t="s">
        <v>57</v>
      </c>
      <c r="R386" s="16" t="s">
        <v>55</v>
      </c>
      <c r="S386" s="16" t="s">
        <v>55</v>
      </c>
      <c r="T386" s="16" t="s">
        <v>55</v>
      </c>
      <c r="U386" s="16" t="s">
        <v>57</v>
      </c>
      <c r="V386" s="16" t="s">
        <v>225</v>
      </c>
      <c r="W386" s="16"/>
      <c r="X386" s="6"/>
      <c r="Y386" s="6"/>
      <c r="Z386" s="6"/>
    </row>
    <row r="387" ht="15.0" customHeight="1">
      <c r="A387" s="7" t="s">
        <v>1973</v>
      </c>
      <c r="B387" s="7" t="s">
        <v>1974</v>
      </c>
      <c r="C387" s="7" t="s">
        <v>1975</v>
      </c>
      <c r="D387" s="7" t="s">
        <v>200</v>
      </c>
      <c r="E387" s="7" t="s">
        <v>138</v>
      </c>
      <c r="F387" s="7" t="s">
        <v>92</v>
      </c>
      <c r="G387" s="7" t="s">
        <v>57</v>
      </c>
      <c r="H387" s="7" t="s">
        <v>55</v>
      </c>
      <c r="I387" s="7" t="s">
        <v>55</v>
      </c>
      <c r="J387" s="7" t="s">
        <v>55</v>
      </c>
      <c r="K387" s="7"/>
      <c r="L387" s="14" t="str">
        <f t="shared" si="1"/>
        <v>Não</v>
      </c>
      <c r="M387" s="7"/>
      <c r="N387" s="7"/>
      <c r="O387" s="7" t="s">
        <v>55</v>
      </c>
      <c r="P387" s="7"/>
      <c r="Q387" s="16" t="s">
        <v>57</v>
      </c>
      <c r="R387" s="16" t="s">
        <v>55</v>
      </c>
      <c r="S387" s="16" t="s">
        <v>55</v>
      </c>
      <c r="T387" s="16" t="s">
        <v>55</v>
      </c>
      <c r="U387" s="16" t="s">
        <v>57</v>
      </c>
      <c r="V387" s="16" t="s">
        <v>225</v>
      </c>
      <c r="W387" s="16"/>
      <c r="X387" s="6"/>
      <c r="Y387" s="6"/>
      <c r="Z387" s="6"/>
    </row>
    <row r="388" ht="15.0" customHeight="1">
      <c r="A388" s="7" t="s">
        <v>1976</v>
      </c>
      <c r="B388" s="7" t="s">
        <v>1977</v>
      </c>
      <c r="C388" s="7" t="s">
        <v>1978</v>
      </c>
      <c r="D388" s="7" t="s">
        <v>200</v>
      </c>
      <c r="E388" s="7" t="s">
        <v>291</v>
      </c>
      <c r="F388" s="7" t="s">
        <v>92</v>
      </c>
      <c r="G388" s="7" t="s">
        <v>57</v>
      </c>
      <c r="H388" s="7" t="s">
        <v>55</v>
      </c>
      <c r="I388" s="7" t="s">
        <v>55</v>
      </c>
      <c r="J388" s="7" t="s">
        <v>55</v>
      </c>
      <c r="K388" s="7"/>
      <c r="L388" s="14" t="str">
        <f t="shared" si="1"/>
        <v>Não</v>
      </c>
      <c r="M388" s="7"/>
      <c r="N388" s="7"/>
      <c r="O388" s="7" t="s">
        <v>55</v>
      </c>
      <c r="P388" s="7"/>
      <c r="Q388" s="16" t="s">
        <v>57</v>
      </c>
      <c r="R388" s="16" t="s">
        <v>55</v>
      </c>
      <c r="S388" s="16" t="s">
        <v>55</v>
      </c>
      <c r="T388" s="16" t="s">
        <v>55</v>
      </c>
      <c r="U388" s="16" t="s">
        <v>57</v>
      </c>
      <c r="V388" s="16" t="s">
        <v>225</v>
      </c>
      <c r="W388" s="16"/>
      <c r="X388" s="6"/>
      <c r="Y388" s="6"/>
      <c r="Z388" s="6"/>
    </row>
    <row r="389" ht="15.0" customHeight="1">
      <c r="A389" s="7" t="s">
        <v>1979</v>
      </c>
      <c r="B389" s="7" t="s">
        <v>1980</v>
      </c>
      <c r="C389" s="7" t="s">
        <v>1981</v>
      </c>
      <c r="D389" s="7" t="s">
        <v>200</v>
      </c>
      <c r="E389" s="7" t="s">
        <v>48</v>
      </c>
      <c r="F389" s="7" t="s">
        <v>92</v>
      </c>
      <c r="G389" s="7" t="s">
        <v>57</v>
      </c>
      <c r="H389" s="7" t="s">
        <v>55</v>
      </c>
      <c r="I389" s="7" t="s">
        <v>55</v>
      </c>
      <c r="J389" s="7" t="s">
        <v>55</v>
      </c>
      <c r="K389" s="7"/>
      <c r="L389" s="14" t="str">
        <f t="shared" si="1"/>
        <v>Não</v>
      </c>
      <c r="M389" s="7"/>
      <c r="N389" s="7"/>
      <c r="O389" s="7" t="s">
        <v>55</v>
      </c>
      <c r="P389" s="7"/>
      <c r="Q389" s="16" t="s">
        <v>57</v>
      </c>
      <c r="R389" s="16" t="s">
        <v>55</v>
      </c>
      <c r="S389" s="16" t="s">
        <v>55</v>
      </c>
      <c r="T389" s="16" t="s">
        <v>55</v>
      </c>
      <c r="U389" s="16" t="s">
        <v>57</v>
      </c>
      <c r="V389" s="16" t="s">
        <v>225</v>
      </c>
      <c r="W389" s="16"/>
      <c r="X389" s="6"/>
      <c r="Y389" s="6"/>
      <c r="Z389" s="6"/>
    </row>
    <row r="390" ht="15.0" customHeight="1">
      <c r="A390" s="7" t="s">
        <v>1982</v>
      </c>
      <c r="B390" s="7" t="s">
        <v>1983</v>
      </c>
      <c r="C390" s="7" t="s">
        <v>1984</v>
      </c>
      <c r="D390" s="7" t="s">
        <v>200</v>
      </c>
      <c r="E390" s="7" t="s">
        <v>85</v>
      </c>
      <c r="F390" s="7" t="s">
        <v>92</v>
      </c>
      <c r="G390" s="7" t="s">
        <v>57</v>
      </c>
      <c r="H390" s="7" t="s">
        <v>55</v>
      </c>
      <c r="I390" s="7" t="s">
        <v>55</v>
      </c>
      <c r="J390" s="7" t="s">
        <v>55</v>
      </c>
      <c r="K390" s="7"/>
      <c r="L390" s="14" t="str">
        <f t="shared" si="1"/>
        <v>Não</v>
      </c>
      <c r="M390" s="7"/>
      <c r="N390" s="7"/>
      <c r="O390" s="7" t="s">
        <v>55</v>
      </c>
      <c r="P390" s="7"/>
      <c r="Q390" s="16" t="s">
        <v>57</v>
      </c>
      <c r="R390" s="16" t="s">
        <v>55</v>
      </c>
      <c r="S390" s="16" t="s">
        <v>55</v>
      </c>
      <c r="T390" s="16" t="s">
        <v>55</v>
      </c>
      <c r="U390" s="16" t="s">
        <v>57</v>
      </c>
      <c r="V390" s="16" t="s">
        <v>225</v>
      </c>
      <c r="W390" s="16"/>
      <c r="X390" s="6"/>
      <c r="Y390" s="6"/>
      <c r="Z390" s="6"/>
    </row>
    <row r="391" ht="15.0" customHeight="1">
      <c r="A391" s="7" t="s">
        <v>1985</v>
      </c>
      <c r="B391" s="7" t="s">
        <v>1986</v>
      </c>
      <c r="C391" s="7" t="s">
        <v>1987</v>
      </c>
      <c r="D391" s="7" t="s">
        <v>200</v>
      </c>
      <c r="E391" s="7" t="s">
        <v>85</v>
      </c>
      <c r="F391" s="7" t="s">
        <v>92</v>
      </c>
      <c r="G391" s="7" t="s">
        <v>57</v>
      </c>
      <c r="H391" s="7" t="s">
        <v>55</v>
      </c>
      <c r="I391" s="7" t="s">
        <v>55</v>
      </c>
      <c r="J391" s="7" t="s">
        <v>55</v>
      </c>
      <c r="K391" s="7"/>
      <c r="L391" s="14" t="str">
        <f t="shared" si="1"/>
        <v>Não</v>
      </c>
      <c r="M391" s="7"/>
      <c r="N391" s="7"/>
      <c r="O391" s="7" t="s">
        <v>55</v>
      </c>
      <c r="P391" s="7"/>
      <c r="Q391" s="16" t="s">
        <v>57</v>
      </c>
      <c r="R391" s="16" t="s">
        <v>55</v>
      </c>
      <c r="S391" s="16" t="s">
        <v>55</v>
      </c>
      <c r="T391" s="16" t="s">
        <v>55</v>
      </c>
      <c r="U391" s="16" t="s">
        <v>57</v>
      </c>
      <c r="V391" s="16" t="s">
        <v>225</v>
      </c>
      <c r="W391" s="16"/>
      <c r="X391" s="6"/>
      <c r="Y391" s="6"/>
      <c r="Z391" s="6"/>
    </row>
    <row r="392" ht="15.0" customHeight="1">
      <c r="A392" s="7" t="s">
        <v>1988</v>
      </c>
      <c r="B392" s="7" t="s">
        <v>1989</v>
      </c>
      <c r="C392" s="7" t="s">
        <v>1990</v>
      </c>
      <c r="D392" s="7" t="s">
        <v>200</v>
      </c>
      <c r="E392" s="7" t="s">
        <v>136</v>
      </c>
      <c r="F392" s="7" t="s">
        <v>92</v>
      </c>
      <c r="G392" s="7" t="s">
        <v>57</v>
      </c>
      <c r="H392" s="7" t="s">
        <v>55</v>
      </c>
      <c r="I392" s="7" t="s">
        <v>55</v>
      </c>
      <c r="J392" s="7" t="s">
        <v>55</v>
      </c>
      <c r="K392" s="7"/>
      <c r="L392" s="14" t="str">
        <f t="shared" si="1"/>
        <v>Não</v>
      </c>
      <c r="M392" s="7"/>
      <c r="N392" s="7"/>
      <c r="O392" s="7" t="s">
        <v>55</v>
      </c>
      <c r="P392" s="7"/>
      <c r="Q392" s="16" t="s">
        <v>57</v>
      </c>
      <c r="R392" s="16" t="s">
        <v>55</v>
      </c>
      <c r="S392" s="16" t="s">
        <v>55</v>
      </c>
      <c r="T392" s="16" t="s">
        <v>55</v>
      </c>
      <c r="U392" s="16" t="s">
        <v>57</v>
      </c>
      <c r="V392" s="16" t="s">
        <v>225</v>
      </c>
      <c r="W392" s="16"/>
      <c r="X392" s="6"/>
      <c r="Y392" s="6"/>
      <c r="Z392" s="6"/>
    </row>
    <row r="393" ht="15.0" customHeight="1">
      <c r="A393" s="7" t="s">
        <v>1991</v>
      </c>
      <c r="B393" s="7" t="s">
        <v>1993</v>
      </c>
      <c r="C393" s="7" t="s">
        <v>1994</v>
      </c>
      <c r="D393" s="7" t="s">
        <v>200</v>
      </c>
      <c r="E393" s="7" t="s">
        <v>136</v>
      </c>
      <c r="F393" s="7" t="s">
        <v>92</v>
      </c>
      <c r="G393" s="7" t="s">
        <v>57</v>
      </c>
      <c r="H393" s="7" t="s">
        <v>55</v>
      </c>
      <c r="I393" s="7" t="s">
        <v>55</v>
      </c>
      <c r="J393" s="7" t="s">
        <v>55</v>
      </c>
      <c r="K393" s="7"/>
      <c r="L393" s="14" t="str">
        <f t="shared" si="1"/>
        <v>Não</v>
      </c>
      <c r="M393" s="7"/>
      <c r="N393" s="7"/>
      <c r="O393" s="7" t="s">
        <v>55</v>
      </c>
      <c r="P393" s="7"/>
      <c r="Q393" s="16" t="s">
        <v>57</v>
      </c>
      <c r="R393" s="16" t="s">
        <v>55</v>
      </c>
      <c r="S393" s="16" t="s">
        <v>55</v>
      </c>
      <c r="T393" s="16" t="s">
        <v>55</v>
      </c>
      <c r="U393" s="16" t="s">
        <v>57</v>
      </c>
      <c r="V393" s="16" t="s">
        <v>225</v>
      </c>
      <c r="W393" s="16"/>
      <c r="X393" s="6"/>
      <c r="Y393" s="6"/>
      <c r="Z393" s="6"/>
    </row>
    <row r="394" ht="15.0" customHeight="1">
      <c r="A394" s="7" t="s">
        <v>1999</v>
      </c>
      <c r="B394" s="7" t="s">
        <v>2000</v>
      </c>
      <c r="C394" s="7" t="s">
        <v>2001</v>
      </c>
      <c r="D394" s="7" t="s">
        <v>200</v>
      </c>
      <c r="E394" s="7" t="s">
        <v>286</v>
      </c>
      <c r="F394" s="7" t="s">
        <v>92</v>
      </c>
      <c r="G394" s="7" t="s">
        <v>57</v>
      </c>
      <c r="H394" s="7" t="s">
        <v>55</v>
      </c>
      <c r="I394" s="7" t="s">
        <v>55</v>
      </c>
      <c r="J394" s="7" t="s">
        <v>55</v>
      </c>
      <c r="K394" s="7"/>
      <c r="L394" s="14" t="str">
        <f t="shared" si="1"/>
        <v>Não</v>
      </c>
      <c r="M394" s="7"/>
      <c r="N394" s="7"/>
      <c r="O394" s="7" t="s">
        <v>55</v>
      </c>
      <c r="P394" s="7"/>
      <c r="Q394" s="16" t="s">
        <v>57</v>
      </c>
      <c r="R394" s="16" t="s">
        <v>55</v>
      </c>
      <c r="S394" s="16" t="s">
        <v>55</v>
      </c>
      <c r="T394" s="16" t="s">
        <v>55</v>
      </c>
      <c r="U394" s="16" t="s">
        <v>57</v>
      </c>
      <c r="V394" s="16" t="s">
        <v>225</v>
      </c>
      <c r="W394" s="16"/>
      <c r="X394" s="6"/>
      <c r="Y394" s="6"/>
      <c r="Z394" s="6"/>
    </row>
    <row r="395" ht="15.0" customHeight="1">
      <c r="A395" s="7" t="s">
        <v>2005</v>
      </c>
      <c r="B395" s="7" t="s">
        <v>2006</v>
      </c>
      <c r="C395" s="7" t="s">
        <v>2007</v>
      </c>
      <c r="D395" s="7" t="s">
        <v>200</v>
      </c>
      <c r="E395" s="7" t="s">
        <v>213</v>
      </c>
      <c r="F395" s="7" t="s">
        <v>92</v>
      </c>
      <c r="G395" s="7" t="s">
        <v>57</v>
      </c>
      <c r="H395" s="7" t="s">
        <v>55</v>
      </c>
      <c r="I395" s="7" t="s">
        <v>55</v>
      </c>
      <c r="J395" s="7" t="s">
        <v>55</v>
      </c>
      <c r="K395" s="7"/>
      <c r="L395" s="14" t="str">
        <f t="shared" si="1"/>
        <v>Não</v>
      </c>
      <c r="M395" s="7"/>
      <c r="N395" s="7"/>
      <c r="O395" s="7" t="s">
        <v>55</v>
      </c>
      <c r="P395" s="7"/>
      <c r="Q395" s="16" t="s">
        <v>57</v>
      </c>
      <c r="R395" s="16" t="s">
        <v>55</v>
      </c>
      <c r="S395" s="16" t="s">
        <v>55</v>
      </c>
      <c r="T395" s="16" t="s">
        <v>55</v>
      </c>
      <c r="U395" s="16" t="s">
        <v>57</v>
      </c>
      <c r="V395" s="16" t="s">
        <v>225</v>
      </c>
      <c r="W395" s="16"/>
      <c r="X395" s="6"/>
      <c r="Y395" s="6"/>
      <c r="Z395" s="6"/>
    </row>
    <row r="396" ht="15.0" customHeight="1">
      <c r="A396" s="7" t="s">
        <v>2009</v>
      </c>
      <c r="B396" s="7" t="s">
        <v>2010</v>
      </c>
      <c r="C396" s="7" t="s">
        <v>2011</v>
      </c>
      <c r="D396" s="7" t="s">
        <v>200</v>
      </c>
      <c r="E396" s="7" t="s">
        <v>107</v>
      </c>
      <c r="F396" s="7" t="s">
        <v>92</v>
      </c>
      <c r="G396" s="7" t="s">
        <v>57</v>
      </c>
      <c r="H396" s="7" t="s">
        <v>55</v>
      </c>
      <c r="I396" s="7" t="s">
        <v>55</v>
      </c>
      <c r="J396" s="7" t="s">
        <v>55</v>
      </c>
      <c r="K396" s="7"/>
      <c r="L396" s="14" t="str">
        <f t="shared" si="1"/>
        <v>Não</v>
      </c>
      <c r="M396" s="7"/>
      <c r="N396" s="7"/>
      <c r="O396" s="7" t="s">
        <v>55</v>
      </c>
      <c r="P396" s="7"/>
      <c r="Q396" s="16" t="s">
        <v>57</v>
      </c>
      <c r="R396" s="16" t="s">
        <v>55</v>
      </c>
      <c r="S396" s="16" t="s">
        <v>55</v>
      </c>
      <c r="T396" s="16" t="s">
        <v>55</v>
      </c>
      <c r="U396" s="16" t="s">
        <v>57</v>
      </c>
      <c r="V396" s="16" t="s">
        <v>225</v>
      </c>
      <c r="W396" s="16"/>
      <c r="X396" s="6"/>
      <c r="Y396" s="6"/>
      <c r="Z396" s="6"/>
    </row>
    <row r="397" ht="15.0" customHeight="1">
      <c r="A397" s="7" t="s">
        <v>2014</v>
      </c>
      <c r="B397" s="7" t="s">
        <v>2015</v>
      </c>
      <c r="C397" s="7" t="s">
        <v>2017</v>
      </c>
      <c r="D397" s="7" t="s">
        <v>200</v>
      </c>
      <c r="E397" s="7" t="s">
        <v>85</v>
      </c>
      <c r="F397" s="7" t="s">
        <v>92</v>
      </c>
      <c r="G397" s="7" t="s">
        <v>57</v>
      </c>
      <c r="H397" s="7" t="s">
        <v>55</v>
      </c>
      <c r="I397" s="7" t="s">
        <v>55</v>
      </c>
      <c r="J397" s="7" t="s">
        <v>55</v>
      </c>
      <c r="K397" s="7"/>
      <c r="L397" s="14" t="str">
        <f t="shared" si="1"/>
        <v>Não</v>
      </c>
      <c r="M397" s="7"/>
      <c r="N397" s="7"/>
      <c r="O397" s="7" t="s">
        <v>55</v>
      </c>
      <c r="P397" s="7"/>
      <c r="Q397" s="16" t="s">
        <v>57</v>
      </c>
      <c r="R397" s="16" t="s">
        <v>55</v>
      </c>
      <c r="S397" s="16" t="s">
        <v>55</v>
      </c>
      <c r="T397" s="16" t="s">
        <v>55</v>
      </c>
      <c r="U397" s="16" t="s">
        <v>57</v>
      </c>
      <c r="V397" s="16" t="s">
        <v>225</v>
      </c>
      <c r="W397" s="16"/>
      <c r="X397" s="6"/>
      <c r="Y397" s="6"/>
      <c r="Z397" s="6"/>
    </row>
    <row r="398" ht="15.0" customHeight="1">
      <c r="A398" s="7" t="s">
        <v>2022</v>
      </c>
      <c r="B398" s="7" t="s">
        <v>2023</v>
      </c>
      <c r="C398" s="7" t="s">
        <v>2024</v>
      </c>
      <c r="D398" s="7" t="s">
        <v>200</v>
      </c>
      <c r="E398" s="7" t="s">
        <v>286</v>
      </c>
      <c r="F398" s="7" t="s">
        <v>92</v>
      </c>
      <c r="G398" s="7" t="s">
        <v>57</v>
      </c>
      <c r="H398" s="7" t="s">
        <v>55</v>
      </c>
      <c r="I398" s="7" t="s">
        <v>55</v>
      </c>
      <c r="J398" s="7" t="s">
        <v>55</v>
      </c>
      <c r="K398" s="7"/>
      <c r="L398" s="14" t="str">
        <f t="shared" si="1"/>
        <v>Não</v>
      </c>
      <c r="M398" s="7"/>
      <c r="N398" s="7"/>
      <c r="O398" s="7" t="s">
        <v>55</v>
      </c>
      <c r="P398" s="7"/>
      <c r="Q398" s="16" t="s">
        <v>57</v>
      </c>
      <c r="R398" s="16" t="s">
        <v>55</v>
      </c>
      <c r="S398" s="16" t="s">
        <v>55</v>
      </c>
      <c r="T398" s="16" t="s">
        <v>55</v>
      </c>
      <c r="U398" s="16" t="s">
        <v>57</v>
      </c>
      <c r="V398" s="16" t="s">
        <v>225</v>
      </c>
      <c r="W398" s="16"/>
      <c r="X398" s="6"/>
      <c r="Y398" s="6"/>
      <c r="Z398" s="6"/>
    </row>
    <row r="399" ht="15.0" customHeight="1">
      <c r="A399" s="7" t="s">
        <v>2033</v>
      </c>
      <c r="B399" s="7" t="s">
        <v>2034</v>
      </c>
      <c r="C399" s="7" t="s">
        <v>2035</v>
      </c>
      <c r="D399" s="7" t="s">
        <v>200</v>
      </c>
      <c r="E399" s="7" t="s">
        <v>85</v>
      </c>
      <c r="F399" s="7" t="s">
        <v>92</v>
      </c>
      <c r="G399" s="7" t="s">
        <v>57</v>
      </c>
      <c r="H399" s="7" t="s">
        <v>55</v>
      </c>
      <c r="I399" s="7" t="s">
        <v>55</v>
      </c>
      <c r="J399" s="7" t="s">
        <v>55</v>
      </c>
      <c r="K399" s="7"/>
      <c r="L399" s="14" t="str">
        <f t="shared" si="1"/>
        <v>Não</v>
      </c>
      <c r="M399" s="7"/>
      <c r="N399" s="7"/>
      <c r="O399" s="7" t="s">
        <v>55</v>
      </c>
      <c r="P399" s="7"/>
      <c r="Q399" s="16" t="s">
        <v>57</v>
      </c>
      <c r="R399" s="16" t="s">
        <v>55</v>
      </c>
      <c r="S399" s="16" t="s">
        <v>55</v>
      </c>
      <c r="T399" s="16" t="s">
        <v>55</v>
      </c>
      <c r="U399" s="16" t="s">
        <v>57</v>
      </c>
      <c r="V399" s="16" t="s">
        <v>225</v>
      </c>
      <c r="W399" s="16"/>
      <c r="X399" s="6"/>
      <c r="Y399" s="6"/>
      <c r="Z399" s="6"/>
    </row>
    <row r="400" ht="15.0" customHeight="1">
      <c r="A400" s="7" t="s">
        <v>2045</v>
      </c>
      <c r="B400" s="7" t="s">
        <v>2046</v>
      </c>
      <c r="C400" s="7" t="s">
        <v>2047</v>
      </c>
      <c r="D400" s="7" t="s">
        <v>200</v>
      </c>
      <c r="E400" s="7" t="s">
        <v>80</v>
      </c>
      <c r="F400" s="7" t="s">
        <v>92</v>
      </c>
      <c r="G400" s="7" t="s">
        <v>57</v>
      </c>
      <c r="H400" s="7" t="s">
        <v>55</v>
      </c>
      <c r="I400" s="7" t="s">
        <v>55</v>
      </c>
      <c r="J400" s="7" t="s">
        <v>55</v>
      </c>
      <c r="K400" s="7"/>
      <c r="L400" s="14" t="str">
        <f t="shared" si="1"/>
        <v>Não</v>
      </c>
      <c r="M400" s="7"/>
      <c r="N400" s="7"/>
      <c r="O400" s="7" t="s">
        <v>55</v>
      </c>
      <c r="P400" s="7"/>
      <c r="Q400" s="16" t="s">
        <v>57</v>
      </c>
      <c r="R400" s="16" t="s">
        <v>55</v>
      </c>
      <c r="S400" s="16" t="s">
        <v>55</v>
      </c>
      <c r="T400" s="16" t="s">
        <v>55</v>
      </c>
      <c r="U400" s="16" t="s">
        <v>57</v>
      </c>
      <c r="V400" s="16" t="s">
        <v>225</v>
      </c>
      <c r="W400" s="16"/>
      <c r="X400" s="6"/>
      <c r="Y400" s="6"/>
      <c r="Z400" s="6"/>
    </row>
    <row r="401" ht="15.0" customHeight="1">
      <c r="A401" s="7" t="s">
        <v>2049</v>
      </c>
      <c r="B401" s="7" t="s">
        <v>2050</v>
      </c>
      <c r="C401" s="7" t="s">
        <v>2051</v>
      </c>
      <c r="D401" s="7" t="s">
        <v>191</v>
      </c>
      <c r="E401" s="7" t="s">
        <v>48</v>
      </c>
      <c r="F401" s="7" t="s">
        <v>92</v>
      </c>
      <c r="G401" s="7" t="s">
        <v>57</v>
      </c>
      <c r="H401" s="7" t="s">
        <v>55</v>
      </c>
      <c r="I401" s="7" t="s">
        <v>55</v>
      </c>
      <c r="J401" s="7" t="s">
        <v>55</v>
      </c>
      <c r="K401" s="7"/>
      <c r="L401" s="14" t="str">
        <f t="shared" si="1"/>
        <v>Não</v>
      </c>
      <c r="M401" s="7"/>
      <c r="N401" s="7"/>
      <c r="O401" s="7" t="s">
        <v>55</v>
      </c>
      <c r="P401" s="7"/>
      <c r="Q401" s="16" t="s">
        <v>57</v>
      </c>
      <c r="R401" s="16" t="s">
        <v>55</v>
      </c>
      <c r="S401" s="16" t="s">
        <v>55</v>
      </c>
      <c r="T401" s="16" t="s">
        <v>55</v>
      </c>
      <c r="U401" s="16" t="s">
        <v>57</v>
      </c>
      <c r="V401" s="16" t="s">
        <v>621</v>
      </c>
      <c r="W401" s="16"/>
      <c r="X401" s="6"/>
      <c r="Y401" s="6"/>
      <c r="Z401" s="6"/>
    </row>
    <row r="402" ht="15.0" customHeight="1">
      <c r="A402" s="7" t="s">
        <v>2056</v>
      </c>
      <c r="B402" s="7" t="s">
        <v>2057</v>
      </c>
      <c r="C402" s="7" t="s">
        <v>2058</v>
      </c>
      <c r="D402" s="7" t="s">
        <v>191</v>
      </c>
      <c r="E402" s="7" t="s">
        <v>48</v>
      </c>
      <c r="F402" s="7" t="s">
        <v>92</v>
      </c>
      <c r="G402" s="7" t="s">
        <v>57</v>
      </c>
      <c r="H402" s="7" t="s">
        <v>55</v>
      </c>
      <c r="I402" s="7" t="s">
        <v>55</v>
      </c>
      <c r="J402" s="7" t="s">
        <v>55</v>
      </c>
      <c r="K402" s="7"/>
      <c r="L402" s="14" t="str">
        <f t="shared" si="1"/>
        <v>Não</v>
      </c>
      <c r="M402" s="7"/>
      <c r="N402" s="7"/>
      <c r="O402" s="7" t="s">
        <v>55</v>
      </c>
      <c r="P402" s="7"/>
      <c r="Q402" s="16" t="s">
        <v>57</v>
      </c>
      <c r="R402" s="16" t="s">
        <v>55</v>
      </c>
      <c r="S402" s="16" t="s">
        <v>55</v>
      </c>
      <c r="T402" s="16" t="s">
        <v>55</v>
      </c>
      <c r="U402" s="16" t="s">
        <v>57</v>
      </c>
      <c r="V402" s="16" t="s">
        <v>621</v>
      </c>
      <c r="W402" s="16"/>
      <c r="X402" s="6"/>
      <c r="Y402" s="6"/>
      <c r="Z402" s="6"/>
    </row>
    <row r="403" ht="15.0" customHeight="1">
      <c r="A403" s="7" t="s">
        <v>2059</v>
      </c>
      <c r="B403" s="7" t="s">
        <v>2060</v>
      </c>
      <c r="C403" s="7" t="s">
        <v>2061</v>
      </c>
      <c r="D403" s="7" t="s">
        <v>191</v>
      </c>
      <c r="E403" s="7" t="s">
        <v>315</v>
      </c>
      <c r="F403" s="7" t="s">
        <v>92</v>
      </c>
      <c r="G403" s="7" t="s">
        <v>57</v>
      </c>
      <c r="H403" s="7" t="s">
        <v>55</v>
      </c>
      <c r="I403" s="7" t="s">
        <v>55</v>
      </c>
      <c r="J403" s="7" t="s">
        <v>55</v>
      </c>
      <c r="K403" s="7"/>
      <c r="L403" s="14" t="str">
        <f t="shared" si="1"/>
        <v>Não</v>
      </c>
      <c r="M403" s="7"/>
      <c r="N403" s="7"/>
      <c r="O403" s="7" t="s">
        <v>55</v>
      </c>
      <c r="P403" s="7"/>
      <c r="Q403" s="16" t="s">
        <v>57</v>
      </c>
      <c r="R403" s="16" t="s">
        <v>55</v>
      </c>
      <c r="S403" s="16" t="s">
        <v>55</v>
      </c>
      <c r="T403" s="16" t="s">
        <v>55</v>
      </c>
      <c r="U403" s="16" t="s">
        <v>57</v>
      </c>
      <c r="V403" s="16" t="s">
        <v>621</v>
      </c>
      <c r="W403" s="16"/>
      <c r="X403" s="6"/>
      <c r="Y403" s="6"/>
      <c r="Z403" s="6"/>
    </row>
    <row r="404" ht="15.0" customHeight="1">
      <c r="A404" s="7" t="s">
        <v>2062</v>
      </c>
      <c r="B404" s="7" t="s">
        <v>2063</v>
      </c>
      <c r="C404" s="7" t="s">
        <v>2064</v>
      </c>
      <c r="D404" s="7" t="s">
        <v>191</v>
      </c>
      <c r="E404" s="7" t="s">
        <v>291</v>
      </c>
      <c r="F404" s="7" t="s">
        <v>92</v>
      </c>
      <c r="G404" s="7" t="s">
        <v>57</v>
      </c>
      <c r="H404" s="7" t="s">
        <v>55</v>
      </c>
      <c r="I404" s="7" t="s">
        <v>55</v>
      </c>
      <c r="J404" s="7" t="s">
        <v>55</v>
      </c>
      <c r="K404" s="7"/>
      <c r="L404" s="14" t="str">
        <f t="shared" si="1"/>
        <v>Não</v>
      </c>
      <c r="M404" s="7"/>
      <c r="N404" s="7"/>
      <c r="O404" s="7" t="s">
        <v>55</v>
      </c>
      <c r="P404" s="7"/>
      <c r="Q404" s="16" t="s">
        <v>57</v>
      </c>
      <c r="R404" s="16" t="s">
        <v>55</v>
      </c>
      <c r="S404" s="16" t="s">
        <v>55</v>
      </c>
      <c r="T404" s="16" t="s">
        <v>55</v>
      </c>
      <c r="U404" s="16" t="s">
        <v>57</v>
      </c>
      <c r="V404" s="16" t="s">
        <v>621</v>
      </c>
      <c r="W404" s="16"/>
      <c r="X404" s="6"/>
      <c r="Y404" s="6"/>
      <c r="Z404" s="6"/>
    </row>
    <row r="405" ht="15.0" customHeight="1">
      <c r="A405" s="7" t="s">
        <v>2069</v>
      </c>
      <c r="B405" s="7" t="s">
        <v>2070</v>
      </c>
      <c r="C405" s="7" t="s">
        <v>2072</v>
      </c>
      <c r="D405" s="7" t="s">
        <v>191</v>
      </c>
      <c r="E405" s="7" t="s">
        <v>85</v>
      </c>
      <c r="F405" s="7" t="s">
        <v>92</v>
      </c>
      <c r="G405" s="7" t="s">
        <v>57</v>
      </c>
      <c r="H405" s="7" t="s">
        <v>55</v>
      </c>
      <c r="I405" s="7" t="s">
        <v>55</v>
      </c>
      <c r="J405" s="7" t="s">
        <v>55</v>
      </c>
      <c r="K405" s="7"/>
      <c r="L405" s="14" t="str">
        <f t="shared" si="1"/>
        <v>Não</v>
      </c>
      <c r="M405" s="7"/>
      <c r="N405" s="7"/>
      <c r="O405" s="7" t="s">
        <v>55</v>
      </c>
      <c r="P405" s="7"/>
      <c r="Q405" s="16" t="s">
        <v>57</v>
      </c>
      <c r="R405" s="16" t="s">
        <v>55</v>
      </c>
      <c r="S405" s="16" t="s">
        <v>55</v>
      </c>
      <c r="T405" s="16" t="s">
        <v>55</v>
      </c>
      <c r="U405" s="16" t="s">
        <v>57</v>
      </c>
      <c r="V405" s="16" t="s">
        <v>621</v>
      </c>
      <c r="W405" s="16"/>
      <c r="X405" s="6"/>
      <c r="Y405" s="6"/>
      <c r="Z405" s="6"/>
    </row>
    <row r="406" ht="15.0" customHeight="1">
      <c r="A406" s="7" t="s">
        <v>2077</v>
      </c>
      <c r="B406" s="7" t="s">
        <v>2079</v>
      </c>
      <c r="C406" s="7" t="s">
        <v>2080</v>
      </c>
      <c r="D406" s="7" t="s">
        <v>191</v>
      </c>
      <c r="E406" s="7" t="s">
        <v>85</v>
      </c>
      <c r="F406" s="7" t="s">
        <v>92</v>
      </c>
      <c r="G406" s="7" t="s">
        <v>57</v>
      </c>
      <c r="H406" s="7" t="s">
        <v>55</v>
      </c>
      <c r="I406" s="7" t="s">
        <v>55</v>
      </c>
      <c r="J406" s="7" t="s">
        <v>55</v>
      </c>
      <c r="K406" s="7"/>
      <c r="L406" s="14" t="str">
        <f t="shared" si="1"/>
        <v>Não</v>
      </c>
      <c r="M406" s="7"/>
      <c r="N406" s="7"/>
      <c r="O406" s="7" t="s">
        <v>55</v>
      </c>
      <c r="P406" s="7"/>
      <c r="Q406" s="16" t="s">
        <v>57</v>
      </c>
      <c r="R406" s="16" t="s">
        <v>55</v>
      </c>
      <c r="S406" s="16" t="s">
        <v>55</v>
      </c>
      <c r="T406" s="16" t="s">
        <v>55</v>
      </c>
      <c r="U406" s="16" t="s">
        <v>57</v>
      </c>
      <c r="V406" s="16" t="s">
        <v>621</v>
      </c>
      <c r="W406" s="16"/>
      <c r="X406" s="6"/>
      <c r="Y406" s="6"/>
      <c r="Z406" s="6"/>
    </row>
    <row r="407" ht="15.0" customHeight="1">
      <c r="A407" s="7" t="s">
        <v>2083</v>
      </c>
      <c r="B407" s="7" t="s">
        <v>2084</v>
      </c>
      <c r="C407" s="7" t="s">
        <v>2085</v>
      </c>
      <c r="D407" s="7" t="s">
        <v>191</v>
      </c>
      <c r="E407" s="7" t="s">
        <v>220</v>
      </c>
      <c r="F407" s="7" t="s">
        <v>92</v>
      </c>
      <c r="G407" s="7" t="s">
        <v>55</v>
      </c>
      <c r="H407" s="7" t="s">
        <v>55</v>
      </c>
      <c r="I407" s="7" t="s">
        <v>55</v>
      </c>
      <c r="J407" s="7" t="s">
        <v>55</v>
      </c>
      <c r="K407" s="11" t="s">
        <v>2086</v>
      </c>
      <c r="L407" s="14" t="str">
        <f t="shared" si="1"/>
        <v>Não</v>
      </c>
      <c r="M407" s="7"/>
      <c r="N407" s="7"/>
      <c r="O407" s="7" t="s">
        <v>55</v>
      </c>
      <c r="P407" s="7"/>
      <c r="Q407" s="16" t="s">
        <v>55</v>
      </c>
      <c r="R407" s="16" t="s">
        <v>55</v>
      </c>
      <c r="S407" s="16" t="s">
        <v>55</v>
      </c>
      <c r="T407" s="16" t="s">
        <v>55</v>
      </c>
      <c r="U407" s="16" t="s">
        <v>55</v>
      </c>
      <c r="V407" s="16" t="s">
        <v>184</v>
      </c>
      <c r="W407" s="16" t="s">
        <v>2087</v>
      </c>
      <c r="X407" s="6"/>
      <c r="Y407" s="6"/>
      <c r="Z407" s="6"/>
    </row>
    <row r="408" ht="15.0" customHeight="1">
      <c r="A408" s="7" t="s">
        <v>2088</v>
      </c>
      <c r="B408" s="7" t="s">
        <v>2089</v>
      </c>
      <c r="C408" s="7" t="s">
        <v>2090</v>
      </c>
      <c r="D408" s="7" t="s">
        <v>191</v>
      </c>
      <c r="E408" s="7" t="s">
        <v>286</v>
      </c>
      <c r="F408" s="7" t="s">
        <v>92</v>
      </c>
      <c r="G408" s="7" t="s">
        <v>57</v>
      </c>
      <c r="H408" s="7" t="s">
        <v>55</v>
      </c>
      <c r="I408" s="7" t="s">
        <v>55</v>
      </c>
      <c r="J408" s="7" t="s">
        <v>55</v>
      </c>
      <c r="K408" s="7"/>
      <c r="L408" s="14" t="str">
        <f t="shared" si="1"/>
        <v>Não</v>
      </c>
      <c r="M408" s="7"/>
      <c r="N408" s="7"/>
      <c r="O408" s="7" t="s">
        <v>55</v>
      </c>
      <c r="P408" s="7"/>
      <c r="Q408" s="16" t="s">
        <v>57</v>
      </c>
      <c r="R408" s="16" t="s">
        <v>55</v>
      </c>
      <c r="S408" s="16" t="s">
        <v>55</v>
      </c>
      <c r="T408" s="16" t="s">
        <v>55</v>
      </c>
      <c r="U408" s="16" t="s">
        <v>57</v>
      </c>
      <c r="V408" s="16" t="s">
        <v>621</v>
      </c>
      <c r="W408" s="16"/>
      <c r="X408" s="6"/>
      <c r="Y408" s="6"/>
      <c r="Z408" s="6"/>
    </row>
    <row r="409" ht="15.0" customHeight="1">
      <c r="A409" s="7" t="s">
        <v>2092</v>
      </c>
      <c r="B409" s="7" t="s">
        <v>2093</v>
      </c>
      <c r="C409" s="7" t="s">
        <v>2094</v>
      </c>
      <c r="D409" s="7" t="s">
        <v>191</v>
      </c>
      <c r="E409" s="7" t="s">
        <v>48</v>
      </c>
      <c r="F409" s="7" t="s">
        <v>92</v>
      </c>
      <c r="G409" s="7" t="s">
        <v>57</v>
      </c>
      <c r="H409" s="7" t="s">
        <v>55</v>
      </c>
      <c r="I409" s="7" t="s">
        <v>55</v>
      </c>
      <c r="J409" s="7" t="s">
        <v>55</v>
      </c>
      <c r="K409" s="7"/>
      <c r="L409" s="14" t="str">
        <f t="shared" si="1"/>
        <v>Não</v>
      </c>
      <c r="M409" s="7"/>
      <c r="N409" s="7"/>
      <c r="O409" s="7" t="s">
        <v>55</v>
      </c>
      <c r="P409" s="7"/>
      <c r="Q409" s="16" t="s">
        <v>57</v>
      </c>
      <c r="R409" s="16" t="s">
        <v>55</v>
      </c>
      <c r="S409" s="16" t="s">
        <v>55</v>
      </c>
      <c r="T409" s="16" t="s">
        <v>55</v>
      </c>
      <c r="U409" s="16" t="s">
        <v>57</v>
      </c>
      <c r="V409" s="16" t="s">
        <v>621</v>
      </c>
      <c r="W409" s="16"/>
      <c r="X409" s="6"/>
      <c r="Y409" s="6"/>
      <c r="Z409" s="6"/>
    </row>
    <row r="410" ht="15.0" customHeight="1">
      <c r="A410" s="7" t="s">
        <v>2097</v>
      </c>
      <c r="B410" s="7" t="s">
        <v>2098</v>
      </c>
      <c r="C410" s="7" t="s">
        <v>2099</v>
      </c>
      <c r="D410" s="7" t="s">
        <v>191</v>
      </c>
      <c r="E410" s="7" t="s">
        <v>180</v>
      </c>
      <c r="F410" s="7" t="s">
        <v>92</v>
      </c>
      <c r="G410" s="7" t="s">
        <v>57</v>
      </c>
      <c r="H410" s="7" t="s">
        <v>55</v>
      </c>
      <c r="I410" s="7" t="s">
        <v>55</v>
      </c>
      <c r="J410" s="7" t="s">
        <v>55</v>
      </c>
      <c r="K410" s="7"/>
      <c r="L410" s="14" t="str">
        <f t="shared" si="1"/>
        <v>Não</v>
      </c>
      <c r="M410" s="7"/>
      <c r="N410" s="7"/>
      <c r="O410" s="7" t="s">
        <v>55</v>
      </c>
      <c r="P410" s="7"/>
      <c r="Q410" s="16" t="s">
        <v>57</v>
      </c>
      <c r="R410" s="16" t="s">
        <v>55</v>
      </c>
      <c r="S410" s="16" t="s">
        <v>55</v>
      </c>
      <c r="T410" s="16" t="s">
        <v>55</v>
      </c>
      <c r="U410" s="16" t="s">
        <v>57</v>
      </c>
      <c r="V410" s="16" t="s">
        <v>621</v>
      </c>
      <c r="W410" s="16"/>
      <c r="X410" s="6"/>
      <c r="Y410" s="6"/>
      <c r="Z410" s="6"/>
    </row>
    <row r="411" ht="15.0" customHeight="1">
      <c r="A411" s="7" t="s">
        <v>2101</v>
      </c>
      <c r="B411" s="7" t="s">
        <v>2102</v>
      </c>
      <c r="C411" s="7" t="s">
        <v>2103</v>
      </c>
      <c r="D411" s="7" t="s">
        <v>191</v>
      </c>
      <c r="E411" s="7" t="s">
        <v>259</v>
      </c>
      <c r="F411" s="7" t="s">
        <v>92</v>
      </c>
      <c r="G411" s="7" t="s">
        <v>57</v>
      </c>
      <c r="H411" s="7" t="s">
        <v>55</v>
      </c>
      <c r="I411" s="7" t="s">
        <v>55</v>
      </c>
      <c r="J411" s="7" t="s">
        <v>55</v>
      </c>
      <c r="K411" s="7"/>
      <c r="L411" s="14" t="str">
        <f t="shared" si="1"/>
        <v>Não</v>
      </c>
      <c r="M411" s="7"/>
      <c r="N411" s="7"/>
      <c r="O411" s="7" t="s">
        <v>55</v>
      </c>
      <c r="P411" s="7"/>
      <c r="Q411" s="16" t="s">
        <v>57</v>
      </c>
      <c r="R411" s="16" t="s">
        <v>55</v>
      </c>
      <c r="S411" s="16" t="s">
        <v>55</v>
      </c>
      <c r="T411" s="16" t="s">
        <v>55</v>
      </c>
      <c r="U411" s="16" t="s">
        <v>57</v>
      </c>
      <c r="V411" s="16" t="s">
        <v>621</v>
      </c>
      <c r="W411" s="16"/>
      <c r="X411" s="6"/>
      <c r="Y411" s="6"/>
      <c r="Z411" s="6"/>
    </row>
    <row r="412" ht="15.0" customHeight="1">
      <c r="A412" s="7" t="s">
        <v>2105</v>
      </c>
      <c r="B412" s="7" t="s">
        <v>2106</v>
      </c>
      <c r="C412" s="7" t="s">
        <v>2107</v>
      </c>
      <c r="D412" s="7" t="s">
        <v>191</v>
      </c>
      <c r="E412" s="7" t="s">
        <v>194</v>
      </c>
      <c r="F412" s="7" t="s">
        <v>92</v>
      </c>
      <c r="G412" s="7" t="s">
        <v>57</v>
      </c>
      <c r="H412" s="7" t="s">
        <v>55</v>
      </c>
      <c r="I412" s="7" t="s">
        <v>55</v>
      </c>
      <c r="J412" s="7" t="s">
        <v>55</v>
      </c>
      <c r="K412" s="7"/>
      <c r="L412" s="14" t="str">
        <f t="shared" si="1"/>
        <v>Não</v>
      </c>
      <c r="M412" s="7"/>
      <c r="N412" s="7"/>
      <c r="O412" s="7" t="s">
        <v>55</v>
      </c>
      <c r="P412" s="7"/>
      <c r="Q412" s="16" t="s">
        <v>57</v>
      </c>
      <c r="R412" s="16" t="s">
        <v>55</v>
      </c>
      <c r="S412" s="16" t="s">
        <v>55</v>
      </c>
      <c r="T412" s="16" t="s">
        <v>55</v>
      </c>
      <c r="U412" s="16" t="s">
        <v>57</v>
      </c>
      <c r="V412" s="16" t="s">
        <v>621</v>
      </c>
      <c r="W412" s="16"/>
      <c r="X412" s="6"/>
      <c r="Y412" s="6"/>
      <c r="Z412" s="6"/>
    </row>
    <row r="413" ht="15.0" customHeight="1">
      <c r="A413" s="7" t="s">
        <v>2108</v>
      </c>
      <c r="B413" s="7" t="s">
        <v>2109</v>
      </c>
      <c r="C413" s="7" t="s">
        <v>2110</v>
      </c>
      <c r="D413" s="7" t="s">
        <v>191</v>
      </c>
      <c r="E413" s="7" t="s">
        <v>267</v>
      </c>
      <c r="F413" s="7" t="s">
        <v>92</v>
      </c>
      <c r="G413" s="7" t="s">
        <v>57</v>
      </c>
      <c r="H413" s="7" t="s">
        <v>55</v>
      </c>
      <c r="I413" s="7" t="s">
        <v>55</v>
      </c>
      <c r="J413" s="7" t="s">
        <v>55</v>
      </c>
      <c r="K413" s="7"/>
      <c r="L413" s="14" t="str">
        <f t="shared" si="1"/>
        <v>Não</v>
      </c>
      <c r="M413" s="7"/>
      <c r="N413" s="7"/>
      <c r="O413" s="7" t="s">
        <v>55</v>
      </c>
      <c r="P413" s="7"/>
      <c r="Q413" s="16" t="s">
        <v>57</v>
      </c>
      <c r="R413" s="16" t="s">
        <v>55</v>
      </c>
      <c r="S413" s="16" t="s">
        <v>55</v>
      </c>
      <c r="T413" s="16" t="s">
        <v>55</v>
      </c>
      <c r="U413" s="16" t="s">
        <v>57</v>
      </c>
      <c r="V413" s="16" t="s">
        <v>621</v>
      </c>
      <c r="W413" s="16"/>
      <c r="X413" s="6"/>
      <c r="Y413" s="6"/>
      <c r="Z413" s="6"/>
    </row>
    <row r="414" ht="15.0" customHeight="1">
      <c r="A414" s="7" t="s">
        <v>2111</v>
      </c>
      <c r="B414" s="7" t="s">
        <v>2112</v>
      </c>
      <c r="C414" s="7" t="s">
        <v>2113</v>
      </c>
      <c r="D414" s="7" t="s">
        <v>191</v>
      </c>
      <c r="E414" s="7" t="s">
        <v>136</v>
      </c>
      <c r="F414" s="7" t="s">
        <v>92</v>
      </c>
      <c r="G414" s="7" t="s">
        <v>57</v>
      </c>
      <c r="H414" s="7" t="s">
        <v>55</v>
      </c>
      <c r="I414" s="7" t="s">
        <v>55</v>
      </c>
      <c r="J414" s="7" t="s">
        <v>55</v>
      </c>
      <c r="K414" s="7"/>
      <c r="L414" s="14" t="str">
        <f t="shared" si="1"/>
        <v>Não</v>
      </c>
      <c r="M414" s="7"/>
      <c r="N414" s="7"/>
      <c r="O414" s="7" t="s">
        <v>55</v>
      </c>
      <c r="P414" s="7"/>
      <c r="Q414" s="16" t="s">
        <v>57</v>
      </c>
      <c r="R414" s="16" t="s">
        <v>55</v>
      </c>
      <c r="S414" s="16" t="s">
        <v>55</v>
      </c>
      <c r="T414" s="16" t="s">
        <v>55</v>
      </c>
      <c r="U414" s="16" t="s">
        <v>57</v>
      </c>
      <c r="V414" s="16" t="s">
        <v>621</v>
      </c>
      <c r="W414" s="16"/>
      <c r="X414" s="6"/>
      <c r="Y414" s="6"/>
      <c r="Z414" s="6"/>
    </row>
    <row r="415" ht="15.0" customHeight="1">
      <c r="A415" s="7" t="s">
        <v>2114</v>
      </c>
      <c r="B415" s="7" t="s">
        <v>2115</v>
      </c>
      <c r="C415" s="7" t="s">
        <v>2116</v>
      </c>
      <c r="D415" s="7" t="s">
        <v>191</v>
      </c>
      <c r="E415" s="7" t="s">
        <v>328</v>
      </c>
      <c r="F415" s="7" t="s">
        <v>92</v>
      </c>
      <c r="G415" s="7" t="s">
        <v>55</v>
      </c>
      <c r="H415" s="7" t="s">
        <v>55</v>
      </c>
      <c r="I415" s="7" t="s">
        <v>55</v>
      </c>
      <c r="J415" s="7" t="s">
        <v>57</v>
      </c>
      <c r="K415" s="7"/>
      <c r="L415" s="14" t="str">
        <f t="shared" si="1"/>
        <v>Não</v>
      </c>
      <c r="M415" s="7"/>
      <c r="N415" s="7"/>
      <c r="O415" s="7" t="s">
        <v>55</v>
      </c>
      <c r="P415" s="7"/>
      <c r="Q415" s="16" t="s">
        <v>55</v>
      </c>
      <c r="R415" s="16" t="s">
        <v>55</v>
      </c>
      <c r="S415" s="16" t="s">
        <v>55</v>
      </c>
      <c r="T415" s="16" t="s">
        <v>57</v>
      </c>
      <c r="U415" s="16" t="s">
        <v>57</v>
      </c>
      <c r="V415" s="16" t="s">
        <v>1747</v>
      </c>
      <c r="W415" s="16"/>
      <c r="X415" s="6"/>
      <c r="Y415" s="6"/>
      <c r="Z415" s="6"/>
    </row>
    <row r="416" ht="28.5" customHeight="1">
      <c r="A416" s="7" t="s">
        <v>2117</v>
      </c>
      <c r="B416" s="7" t="s">
        <v>2118</v>
      </c>
      <c r="C416" s="42" t="s">
        <v>2119</v>
      </c>
      <c r="D416" s="7" t="s">
        <v>163</v>
      </c>
      <c r="E416" s="7" t="s">
        <v>85</v>
      </c>
      <c r="F416" s="7" t="s">
        <v>109</v>
      </c>
      <c r="G416" s="11" t="s">
        <v>55</v>
      </c>
      <c r="H416" s="11" t="s">
        <v>55</v>
      </c>
      <c r="I416" s="11" t="s">
        <v>55</v>
      </c>
      <c r="J416" s="7" t="s">
        <v>55</v>
      </c>
      <c r="K416" s="11" t="s">
        <v>2120</v>
      </c>
      <c r="L416" s="14" t="str">
        <f t="shared" si="1"/>
        <v>Não</v>
      </c>
      <c r="M416" s="11"/>
      <c r="N416" s="7"/>
      <c r="O416" s="7" t="s">
        <v>55</v>
      </c>
      <c r="P416" s="7"/>
      <c r="Q416" s="16" t="s">
        <v>55</v>
      </c>
      <c r="R416" s="16" t="s">
        <v>55</v>
      </c>
      <c r="S416" s="16" t="s">
        <v>55</v>
      </c>
      <c r="T416" s="16" t="s">
        <v>55</v>
      </c>
      <c r="U416" s="16" t="s">
        <v>55</v>
      </c>
      <c r="V416" s="16" t="s">
        <v>184</v>
      </c>
      <c r="W416" s="16" t="s">
        <v>2121</v>
      </c>
      <c r="X416" s="6"/>
      <c r="Y416" s="6"/>
      <c r="Z416" s="6"/>
    </row>
    <row r="417" ht="15.0" customHeight="1">
      <c r="A417" s="7" t="s">
        <v>2122</v>
      </c>
      <c r="B417" s="7" t="s">
        <v>2123</v>
      </c>
      <c r="C417" s="7" t="s">
        <v>2124</v>
      </c>
      <c r="D417" s="7" t="s">
        <v>163</v>
      </c>
      <c r="E417" s="7" t="s">
        <v>291</v>
      </c>
      <c r="F417" s="7" t="s">
        <v>109</v>
      </c>
      <c r="G417" s="11" t="s">
        <v>57</v>
      </c>
      <c r="H417" s="11" t="s">
        <v>55</v>
      </c>
      <c r="I417" s="11" t="s">
        <v>55</v>
      </c>
      <c r="J417" s="7" t="s">
        <v>55</v>
      </c>
      <c r="K417" s="7"/>
      <c r="L417" s="14" t="str">
        <f t="shared" si="1"/>
        <v>Não</v>
      </c>
      <c r="M417" s="11"/>
      <c r="N417" s="7"/>
      <c r="O417" s="7" t="s">
        <v>55</v>
      </c>
      <c r="P417" s="7"/>
      <c r="Q417" s="16" t="s">
        <v>57</v>
      </c>
      <c r="R417" s="16" t="s">
        <v>55</v>
      </c>
      <c r="S417" s="16" t="s">
        <v>55</v>
      </c>
      <c r="T417" s="16" t="s">
        <v>55</v>
      </c>
      <c r="U417" s="16" t="s">
        <v>57</v>
      </c>
      <c r="V417" s="16" t="s">
        <v>225</v>
      </c>
      <c r="W417" s="16"/>
      <c r="X417" s="6"/>
      <c r="Y417" s="6"/>
      <c r="Z417" s="6"/>
    </row>
    <row r="418" ht="15.0" customHeight="1">
      <c r="A418" s="7" t="s">
        <v>2128</v>
      </c>
      <c r="B418" s="7" t="s">
        <v>2129</v>
      </c>
      <c r="C418" s="7" t="s">
        <v>2130</v>
      </c>
      <c r="D418" s="7" t="s">
        <v>163</v>
      </c>
      <c r="E418" s="7" t="s">
        <v>80</v>
      </c>
      <c r="F418" s="7" t="s">
        <v>109</v>
      </c>
      <c r="G418" s="11" t="s">
        <v>55</v>
      </c>
      <c r="H418" s="11" t="s">
        <v>55</v>
      </c>
      <c r="I418" s="11" t="s">
        <v>55</v>
      </c>
      <c r="J418" s="7" t="s">
        <v>55</v>
      </c>
      <c r="K418" s="11" t="s">
        <v>2133</v>
      </c>
      <c r="L418" s="14" t="str">
        <f t="shared" si="1"/>
        <v>Não</v>
      </c>
      <c r="M418" s="11"/>
      <c r="N418" s="7"/>
      <c r="O418" s="7" t="s">
        <v>55</v>
      </c>
      <c r="P418" s="7"/>
      <c r="Q418" s="16" t="s">
        <v>55</v>
      </c>
      <c r="R418" s="16" t="s">
        <v>55</v>
      </c>
      <c r="S418" s="16" t="s">
        <v>55</v>
      </c>
      <c r="T418" s="16" t="s">
        <v>55</v>
      </c>
      <c r="U418" s="16" t="s">
        <v>55</v>
      </c>
      <c r="V418" s="16" t="s">
        <v>184</v>
      </c>
      <c r="W418" s="16" t="s">
        <v>2134</v>
      </c>
      <c r="X418" s="6"/>
      <c r="Y418" s="6"/>
      <c r="Z418" s="6"/>
    </row>
    <row r="419" ht="15.0" customHeight="1">
      <c r="A419" s="7" t="s">
        <v>2135</v>
      </c>
      <c r="B419" s="7" t="s">
        <v>2136</v>
      </c>
      <c r="C419" s="7" t="s">
        <v>2137</v>
      </c>
      <c r="D419" s="7" t="s">
        <v>163</v>
      </c>
      <c r="E419" s="7" t="s">
        <v>220</v>
      </c>
      <c r="F419" s="7" t="s">
        <v>109</v>
      </c>
      <c r="G419" s="11" t="s">
        <v>55</v>
      </c>
      <c r="H419" s="11" t="s">
        <v>55</v>
      </c>
      <c r="I419" s="11" t="s">
        <v>55</v>
      </c>
      <c r="J419" s="7" t="s">
        <v>55</v>
      </c>
      <c r="K419" s="11" t="s">
        <v>2138</v>
      </c>
      <c r="L419" s="14" t="str">
        <f t="shared" si="1"/>
        <v>Não</v>
      </c>
      <c r="M419" s="11"/>
      <c r="N419" s="7"/>
      <c r="O419" s="7" t="s">
        <v>55</v>
      </c>
      <c r="P419" s="7"/>
      <c r="Q419" s="16" t="s">
        <v>55</v>
      </c>
      <c r="R419" s="16" t="s">
        <v>55</v>
      </c>
      <c r="S419" s="16" t="s">
        <v>55</v>
      </c>
      <c r="T419" s="16" t="s">
        <v>55</v>
      </c>
      <c r="U419" s="16" t="s">
        <v>55</v>
      </c>
      <c r="V419" s="16" t="s">
        <v>184</v>
      </c>
      <c r="W419" s="16" t="s">
        <v>2139</v>
      </c>
      <c r="X419" s="6"/>
      <c r="Y419" s="6"/>
      <c r="Z419" s="6"/>
    </row>
    <row r="420" ht="15.0" customHeight="1">
      <c r="A420" s="7" t="s">
        <v>2140</v>
      </c>
      <c r="B420" s="7" t="s">
        <v>2141</v>
      </c>
      <c r="C420" s="7" t="s">
        <v>2142</v>
      </c>
      <c r="D420" s="7" t="s">
        <v>163</v>
      </c>
      <c r="E420" s="7" t="s">
        <v>136</v>
      </c>
      <c r="F420" s="7" t="s">
        <v>109</v>
      </c>
      <c r="G420" s="11" t="s">
        <v>55</v>
      </c>
      <c r="H420" s="11" t="s">
        <v>55</v>
      </c>
      <c r="I420" s="11" t="s">
        <v>55</v>
      </c>
      <c r="J420" s="7" t="s">
        <v>55</v>
      </c>
      <c r="K420" s="7"/>
      <c r="L420" s="14" t="str">
        <f t="shared" si="1"/>
        <v>Sim</v>
      </c>
      <c r="M420" s="11"/>
      <c r="N420" s="7"/>
      <c r="O420" s="7" t="s">
        <v>55</v>
      </c>
      <c r="P420" s="7"/>
      <c r="Q420" s="16" t="s">
        <v>55</v>
      </c>
      <c r="R420" s="16" t="s">
        <v>55</v>
      </c>
      <c r="S420" s="16" t="s">
        <v>55</v>
      </c>
      <c r="T420" s="16" t="s">
        <v>55</v>
      </c>
      <c r="U420" s="16" t="s">
        <v>55</v>
      </c>
      <c r="V420" s="16" t="s">
        <v>184</v>
      </c>
      <c r="W420" s="16"/>
      <c r="X420" s="6"/>
      <c r="Y420" s="6"/>
      <c r="Z420" s="6"/>
    </row>
    <row r="421" ht="15.0" customHeight="1">
      <c r="A421" s="7" t="s">
        <v>2144</v>
      </c>
      <c r="B421" s="7" t="s">
        <v>2145</v>
      </c>
      <c r="C421" s="7" t="s">
        <v>2146</v>
      </c>
      <c r="D421" s="7" t="s">
        <v>163</v>
      </c>
      <c r="E421" s="7" t="s">
        <v>80</v>
      </c>
      <c r="F421" s="7" t="s">
        <v>109</v>
      </c>
      <c r="G421" s="11" t="s">
        <v>55</v>
      </c>
      <c r="H421" s="11" t="s">
        <v>55</v>
      </c>
      <c r="I421" s="11" t="s">
        <v>55</v>
      </c>
      <c r="J421" s="7" t="s">
        <v>55</v>
      </c>
      <c r="K421" s="7"/>
      <c r="L421" s="14" t="str">
        <f t="shared" si="1"/>
        <v>Sim</v>
      </c>
      <c r="M421" s="11"/>
      <c r="N421" s="7"/>
      <c r="O421" s="7" t="s">
        <v>55</v>
      </c>
      <c r="P421" s="7"/>
      <c r="Q421" s="16" t="s">
        <v>57</v>
      </c>
      <c r="R421" s="16" t="s">
        <v>55</v>
      </c>
      <c r="S421" s="16" t="s">
        <v>55</v>
      </c>
      <c r="T421" s="16" t="s">
        <v>55</v>
      </c>
      <c r="U421" s="16" t="s">
        <v>57</v>
      </c>
      <c r="V421" s="16" t="s">
        <v>1440</v>
      </c>
      <c r="W421" s="16"/>
      <c r="X421" s="6"/>
      <c r="Y421" s="6"/>
      <c r="Z421" s="6"/>
    </row>
    <row r="422" ht="15.0" customHeight="1">
      <c r="A422" s="7" t="s">
        <v>2147</v>
      </c>
      <c r="B422" s="7" t="s">
        <v>2148</v>
      </c>
      <c r="C422" s="7" t="s">
        <v>2149</v>
      </c>
      <c r="D422" s="7" t="s">
        <v>163</v>
      </c>
      <c r="E422" s="7" t="s">
        <v>114</v>
      </c>
      <c r="F422" s="7" t="s">
        <v>109</v>
      </c>
      <c r="G422" s="11" t="s">
        <v>55</v>
      </c>
      <c r="H422" s="11" t="s">
        <v>55</v>
      </c>
      <c r="I422" s="11" t="s">
        <v>55</v>
      </c>
      <c r="J422" s="7" t="s">
        <v>55</v>
      </c>
      <c r="K422" s="7"/>
      <c r="L422" s="14" t="str">
        <f t="shared" si="1"/>
        <v>Sim</v>
      </c>
      <c r="M422" s="11"/>
      <c r="N422" s="7"/>
      <c r="O422" s="7" t="s">
        <v>55</v>
      </c>
      <c r="P422" s="7"/>
      <c r="Q422" s="16" t="s">
        <v>57</v>
      </c>
      <c r="R422" s="16" t="s">
        <v>55</v>
      </c>
      <c r="S422" s="16" t="s">
        <v>55</v>
      </c>
      <c r="T422" s="16" t="s">
        <v>55</v>
      </c>
      <c r="U422" s="16" t="s">
        <v>57</v>
      </c>
      <c r="V422" s="16" t="s">
        <v>1440</v>
      </c>
      <c r="W422" s="16"/>
      <c r="X422" s="6"/>
      <c r="Y422" s="6"/>
      <c r="Z422" s="6"/>
    </row>
    <row r="423" ht="15.0" customHeight="1">
      <c r="A423" s="7" t="s">
        <v>2150</v>
      </c>
      <c r="B423" s="7" t="s">
        <v>2151</v>
      </c>
      <c r="C423" s="7" t="s">
        <v>2152</v>
      </c>
      <c r="D423" s="7" t="s">
        <v>163</v>
      </c>
      <c r="E423" s="7" t="s">
        <v>80</v>
      </c>
      <c r="F423" s="7" t="s">
        <v>109</v>
      </c>
      <c r="G423" s="11" t="s">
        <v>55</v>
      </c>
      <c r="H423" s="11" t="s">
        <v>55</v>
      </c>
      <c r="I423" s="11" t="s">
        <v>55</v>
      </c>
      <c r="J423" s="7" t="s">
        <v>55</v>
      </c>
      <c r="K423" s="11" t="s">
        <v>2153</v>
      </c>
      <c r="L423" s="14" t="str">
        <f t="shared" si="1"/>
        <v>Não</v>
      </c>
      <c r="M423" s="11"/>
      <c r="N423" s="7"/>
      <c r="O423" s="7" t="s">
        <v>55</v>
      </c>
      <c r="P423" s="7"/>
      <c r="Q423" s="16" t="s">
        <v>55</v>
      </c>
      <c r="R423" s="16" t="s">
        <v>55</v>
      </c>
      <c r="S423" s="16" t="s">
        <v>55</v>
      </c>
      <c r="T423" s="16" t="s">
        <v>55</v>
      </c>
      <c r="U423" s="16" t="s">
        <v>55</v>
      </c>
      <c r="V423" s="16" t="s">
        <v>184</v>
      </c>
      <c r="W423" s="16" t="s">
        <v>2154</v>
      </c>
      <c r="X423" s="6"/>
      <c r="Y423" s="6"/>
      <c r="Z423" s="6"/>
    </row>
    <row r="424" ht="15.0" customHeight="1">
      <c r="A424" s="7" t="s">
        <v>2155</v>
      </c>
      <c r="B424" s="7" t="s">
        <v>2156</v>
      </c>
      <c r="C424" s="7" t="s">
        <v>2157</v>
      </c>
      <c r="D424" s="7" t="s">
        <v>163</v>
      </c>
      <c r="E424" s="7" t="s">
        <v>80</v>
      </c>
      <c r="F424" s="7" t="s">
        <v>109</v>
      </c>
      <c r="G424" s="11" t="s">
        <v>55</v>
      </c>
      <c r="H424" s="11" t="s">
        <v>55</v>
      </c>
      <c r="I424" s="11" t="s">
        <v>55</v>
      </c>
      <c r="J424" s="7" t="s">
        <v>55</v>
      </c>
      <c r="K424" s="7"/>
      <c r="L424" s="14" t="str">
        <f t="shared" si="1"/>
        <v>Sim</v>
      </c>
      <c r="M424" s="11"/>
      <c r="N424" s="7"/>
      <c r="O424" s="7" t="s">
        <v>55</v>
      </c>
      <c r="P424" s="7"/>
      <c r="Q424" s="16" t="s">
        <v>55</v>
      </c>
      <c r="R424" s="16" t="s">
        <v>55</v>
      </c>
      <c r="S424" s="16" t="s">
        <v>55</v>
      </c>
      <c r="T424" s="16" t="s">
        <v>55</v>
      </c>
      <c r="U424" s="16" t="s">
        <v>55</v>
      </c>
      <c r="V424" s="16" t="s">
        <v>184</v>
      </c>
      <c r="W424" s="16"/>
      <c r="X424" s="6"/>
      <c r="Y424" s="6"/>
      <c r="Z424" s="6"/>
    </row>
    <row r="425" ht="15.0" customHeight="1">
      <c r="A425" s="7" t="s">
        <v>2158</v>
      </c>
      <c r="B425" s="7" t="s">
        <v>2159</v>
      </c>
      <c r="C425" s="7" t="s">
        <v>2160</v>
      </c>
      <c r="D425" s="7" t="s">
        <v>163</v>
      </c>
      <c r="E425" s="7" t="s">
        <v>138</v>
      </c>
      <c r="F425" s="7" t="s">
        <v>109</v>
      </c>
      <c r="G425" s="11" t="s">
        <v>55</v>
      </c>
      <c r="H425" s="11" t="s">
        <v>55</v>
      </c>
      <c r="I425" s="11" t="s">
        <v>55</v>
      </c>
      <c r="J425" s="7" t="s">
        <v>55</v>
      </c>
      <c r="K425" s="11" t="s">
        <v>2161</v>
      </c>
      <c r="L425" s="14" t="str">
        <f t="shared" si="1"/>
        <v>Não</v>
      </c>
      <c r="M425" s="11"/>
      <c r="N425" s="7"/>
      <c r="O425" s="7" t="s">
        <v>55</v>
      </c>
      <c r="P425" s="7"/>
      <c r="Q425" s="16" t="s">
        <v>55</v>
      </c>
      <c r="R425" s="16" t="s">
        <v>55</v>
      </c>
      <c r="S425" s="16" t="s">
        <v>55</v>
      </c>
      <c r="T425" s="16" t="s">
        <v>55</v>
      </c>
      <c r="U425" s="16" t="s">
        <v>55</v>
      </c>
      <c r="V425" s="16" t="s">
        <v>184</v>
      </c>
      <c r="W425" s="16" t="s">
        <v>2162</v>
      </c>
      <c r="X425" s="6"/>
      <c r="Y425" s="6"/>
      <c r="Z425" s="6"/>
    </row>
    <row r="426" ht="15.0" customHeight="1">
      <c r="A426" s="7" t="s">
        <v>2163</v>
      </c>
      <c r="B426" s="7" t="s">
        <v>2164</v>
      </c>
      <c r="C426" s="7" t="s">
        <v>2165</v>
      </c>
      <c r="D426" s="7" t="s">
        <v>163</v>
      </c>
      <c r="E426" s="7" t="s">
        <v>165</v>
      </c>
      <c r="F426" s="7" t="s">
        <v>109</v>
      </c>
      <c r="G426" s="11" t="s">
        <v>57</v>
      </c>
      <c r="H426" s="11" t="s">
        <v>55</v>
      </c>
      <c r="I426" s="11" t="s">
        <v>55</v>
      </c>
      <c r="J426" s="7" t="s">
        <v>55</v>
      </c>
      <c r="K426" s="7"/>
      <c r="L426" s="14" t="str">
        <f t="shared" si="1"/>
        <v>Não</v>
      </c>
      <c r="M426" s="11"/>
      <c r="N426" s="7"/>
      <c r="O426" s="7" t="s">
        <v>55</v>
      </c>
      <c r="P426" s="7"/>
      <c r="Q426" s="16" t="s">
        <v>57</v>
      </c>
      <c r="R426" s="16" t="s">
        <v>55</v>
      </c>
      <c r="S426" s="16" t="s">
        <v>55</v>
      </c>
      <c r="T426" s="16" t="s">
        <v>55</v>
      </c>
      <c r="U426" s="16" t="s">
        <v>57</v>
      </c>
      <c r="V426" s="16" t="s">
        <v>1440</v>
      </c>
      <c r="W426" s="16"/>
      <c r="X426" s="6"/>
      <c r="Y426" s="6"/>
      <c r="Z426" s="6"/>
    </row>
    <row r="427" ht="15.0" customHeight="1">
      <c r="A427" s="7" t="s">
        <v>2166</v>
      </c>
      <c r="B427" s="7" t="s">
        <v>2167</v>
      </c>
      <c r="C427" s="7" t="s">
        <v>2168</v>
      </c>
      <c r="D427" s="7" t="s">
        <v>163</v>
      </c>
      <c r="E427" s="7" t="s">
        <v>165</v>
      </c>
      <c r="F427" s="7" t="s">
        <v>109</v>
      </c>
      <c r="G427" s="11" t="s">
        <v>1899</v>
      </c>
      <c r="H427" s="11" t="s">
        <v>55</v>
      </c>
      <c r="I427" s="11" t="s">
        <v>55</v>
      </c>
      <c r="J427" s="7" t="s">
        <v>55</v>
      </c>
      <c r="K427" s="11" t="s">
        <v>2170</v>
      </c>
      <c r="L427" s="14" t="str">
        <f t="shared" si="1"/>
        <v>Não</v>
      </c>
      <c r="M427" s="11"/>
      <c r="N427" s="7"/>
      <c r="O427" s="7" t="s">
        <v>55</v>
      </c>
      <c r="P427" s="7"/>
      <c r="Q427" s="16" t="s">
        <v>55</v>
      </c>
      <c r="R427" s="16" t="s">
        <v>55</v>
      </c>
      <c r="S427" s="16" t="s">
        <v>55</v>
      </c>
      <c r="T427" s="16" t="s">
        <v>55</v>
      </c>
      <c r="U427" s="16" t="s">
        <v>55</v>
      </c>
      <c r="V427" s="16" t="s">
        <v>184</v>
      </c>
      <c r="W427" s="16" t="s">
        <v>2174</v>
      </c>
      <c r="X427" s="6"/>
      <c r="Y427" s="6"/>
      <c r="Z427" s="6"/>
    </row>
    <row r="428" ht="15.0" customHeight="1">
      <c r="A428" s="7" t="s">
        <v>2175</v>
      </c>
      <c r="B428" s="7" t="s">
        <v>2176</v>
      </c>
      <c r="C428" s="7" t="s">
        <v>2177</v>
      </c>
      <c r="D428" s="7" t="s">
        <v>163</v>
      </c>
      <c r="E428" s="7" t="s">
        <v>80</v>
      </c>
      <c r="F428" s="7" t="s">
        <v>109</v>
      </c>
      <c r="G428" s="11" t="s">
        <v>55</v>
      </c>
      <c r="H428" s="11" t="s">
        <v>55</v>
      </c>
      <c r="I428" s="11" t="s">
        <v>55</v>
      </c>
      <c r="J428" s="7" t="s">
        <v>55</v>
      </c>
      <c r="K428" s="11" t="s">
        <v>2180</v>
      </c>
      <c r="L428" s="14" t="str">
        <f t="shared" si="1"/>
        <v>Não</v>
      </c>
      <c r="M428" s="11"/>
      <c r="N428" s="7"/>
      <c r="O428" s="7" t="s">
        <v>55</v>
      </c>
      <c r="P428" s="7"/>
      <c r="Q428" s="16" t="s">
        <v>55</v>
      </c>
      <c r="R428" s="16" t="s">
        <v>55</v>
      </c>
      <c r="S428" s="16" t="s">
        <v>55</v>
      </c>
      <c r="T428" s="16" t="s">
        <v>55</v>
      </c>
      <c r="U428" s="16" t="s">
        <v>55</v>
      </c>
      <c r="V428" s="16" t="s">
        <v>1577</v>
      </c>
      <c r="W428" s="16" t="s">
        <v>2181</v>
      </c>
      <c r="X428" s="6"/>
      <c r="Y428" s="6"/>
      <c r="Z428" s="6"/>
    </row>
    <row r="429" ht="15.0" customHeight="1">
      <c r="A429" s="31" t="s">
        <v>2182</v>
      </c>
      <c r="B429" s="31" t="s">
        <v>2183</v>
      </c>
      <c r="C429" s="31"/>
      <c r="D429" s="31" t="s">
        <v>163</v>
      </c>
      <c r="E429" s="31" t="s">
        <v>300</v>
      </c>
      <c r="F429" s="31" t="s">
        <v>109</v>
      </c>
      <c r="G429" s="32" t="s">
        <v>55</v>
      </c>
      <c r="H429" s="32" t="s">
        <v>55</v>
      </c>
      <c r="I429" s="32" t="s">
        <v>57</v>
      </c>
      <c r="J429" s="31" t="s">
        <v>55</v>
      </c>
      <c r="K429" s="31"/>
      <c r="L429" s="31" t="str">
        <f t="shared" si="1"/>
        <v>Não</v>
      </c>
      <c r="M429" s="32"/>
      <c r="N429" s="31"/>
      <c r="O429" s="31" t="s">
        <v>55</v>
      </c>
      <c r="P429" s="31" t="s">
        <v>1252</v>
      </c>
      <c r="Q429" s="31" t="s">
        <v>55</v>
      </c>
      <c r="R429" s="31" t="s">
        <v>55</v>
      </c>
      <c r="S429" s="31" t="s">
        <v>57</v>
      </c>
      <c r="T429" s="31" t="s">
        <v>55</v>
      </c>
      <c r="U429" s="31" t="s">
        <v>57</v>
      </c>
      <c r="V429" s="31" t="s">
        <v>1253</v>
      </c>
      <c r="W429" s="31"/>
      <c r="X429" s="33"/>
      <c r="Y429" s="33"/>
      <c r="Z429" s="33"/>
    </row>
    <row r="430" ht="15.0" customHeight="1">
      <c r="A430" s="31" t="s">
        <v>2185</v>
      </c>
      <c r="B430" s="31" t="s">
        <v>2186</v>
      </c>
      <c r="C430" s="31"/>
      <c r="D430" s="31" t="s">
        <v>163</v>
      </c>
      <c r="E430" s="31" t="s">
        <v>300</v>
      </c>
      <c r="F430" s="31" t="s">
        <v>109</v>
      </c>
      <c r="G430" s="32" t="s">
        <v>55</v>
      </c>
      <c r="H430" s="32" t="s">
        <v>55</v>
      </c>
      <c r="I430" s="32" t="s">
        <v>55</v>
      </c>
      <c r="J430" s="31" t="s">
        <v>55</v>
      </c>
      <c r="K430" s="31"/>
      <c r="L430" s="31" t="str">
        <f t="shared" si="1"/>
        <v>Sim</v>
      </c>
      <c r="M430" s="32"/>
      <c r="N430" s="31"/>
      <c r="O430" s="31" t="s">
        <v>55</v>
      </c>
      <c r="P430" s="31" t="s">
        <v>1252</v>
      </c>
      <c r="Q430" s="31" t="s">
        <v>55</v>
      </c>
      <c r="R430" s="31" t="s">
        <v>55</v>
      </c>
      <c r="S430" s="31" t="s">
        <v>57</v>
      </c>
      <c r="T430" s="31" t="s">
        <v>55</v>
      </c>
      <c r="U430" s="31" t="s">
        <v>57</v>
      </c>
      <c r="V430" s="31" t="s">
        <v>1253</v>
      </c>
      <c r="W430" s="31"/>
      <c r="X430" s="33"/>
      <c r="Y430" s="33"/>
      <c r="Z430" s="33"/>
    </row>
    <row r="431" ht="15.0" customHeight="1">
      <c r="A431" s="7" t="s">
        <v>2187</v>
      </c>
      <c r="B431" s="7" t="s">
        <v>2188</v>
      </c>
      <c r="C431" s="7" t="s">
        <v>2189</v>
      </c>
      <c r="D431" s="7" t="s">
        <v>163</v>
      </c>
      <c r="E431" s="7" t="s">
        <v>80</v>
      </c>
      <c r="F431" s="7" t="s">
        <v>109</v>
      </c>
      <c r="G431" s="11" t="s">
        <v>57</v>
      </c>
      <c r="H431" s="11" t="s">
        <v>55</v>
      </c>
      <c r="I431" s="11" t="s">
        <v>55</v>
      </c>
      <c r="J431" s="7" t="s">
        <v>55</v>
      </c>
      <c r="K431" s="7"/>
      <c r="L431" s="14" t="str">
        <f t="shared" si="1"/>
        <v>Não</v>
      </c>
      <c r="M431" s="11"/>
      <c r="N431" s="7"/>
      <c r="O431" s="7" t="s">
        <v>55</v>
      </c>
      <c r="P431" s="7"/>
      <c r="Q431" s="16" t="s">
        <v>57</v>
      </c>
      <c r="R431" s="16" t="s">
        <v>55</v>
      </c>
      <c r="S431" s="16" t="s">
        <v>55</v>
      </c>
      <c r="T431" s="16" t="s">
        <v>55</v>
      </c>
      <c r="U431" s="16" t="s">
        <v>57</v>
      </c>
      <c r="V431" s="16" t="s">
        <v>1440</v>
      </c>
      <c r="W431" s="16"/>
      <c r="X431" s="6"/>
      <c r="Y431" s="6"/>
      <c r="Z431" s="6"/>
    </row>
    <row r="432" ht="15.0" customHeight="1">
      <c r="A432" s="31" t="s">
        <v>2190</v>
      </c>
      <c r="B432" s="31" t="s">
        <v>2191</v>
      </c>
      <c r="C432" s="31"/>
      <c r="D432" s="31" t="s">
        <v>163</v>
      </c>
      <c r="E432" s="31" t="s">
        <v>194</v>
      </c>
      <c r="F432" s="31" t="s">
        <v>109</v>
      </c>
      <c r="G432" s="32" t="s">
        <v>55</v>
      </c>
      <c r="H432" s="32" t="s">
        <v>55</v>
      </c>
      <c r="I432" s="32" t="s">
        <v>57</v>
      </c>
      <c r="J432" s="31" t="s">
        <v>55</v>
      </c>
      <c r="K432" s="31"/>
      <c r="L432" s="31" t="str">
        <f t="shared" si="1"/>
        <v>Não</v>
      </c>
      <c r="M432" s="32"/>
      <c r="N432" s="31"/>
      <c r="O432" s="31" t="s">
        <v>55</v>
      </c>
      <c r="P432" s="31" t="s">
        <v>1252</v>
      </c>
      <c r="Q432" s="31" t="s">
        <v>55</v>
      </c>
      <c r="R432" s="31" t="s">
        <v>55</v>
      </c>
      <c r="S432" s="31" t="s">
        <v>57</v>
      </c>
      <c r="T432" s="31" t="s">
        <v>55</v>
      </c>
      <c r="U432" s="31" t="s">
        <v>57</v>
      </c>
      <c r="V432" s="31" t="s">
        <v>1253</v>
      </c>
      <c r="W432" s="31"/>
      <c r="X432" s="33"/>
      <c r="Y432" s="33"/>
      <c r="Z432" s="33"/>
    </row>
    <row r="433" ht="15.0" customHeight="1">
      <c r="A433" s="7" t="s">
        <v>2192</v>
      </c>
      <c r="B433" s="7" t="s">
        <v>2193</v>
      </c>
      <c r="C433" s="7" t="s">
        <v>2194</v>
      </c>
      <c r="D433" s="7" t="s">
        <v>163</v>
      </c>
      <c r="E433" s="7" t="s">
        <v>300</v>
      </c>
      <c r="F433" s="7" t="s">
        <v>109</v>
      </c>
      <c r="G433" s="11" t="s">
        <v>57</v>
      </c>
      <c r="H433" s="11" t="s">
        <v>55</v>
      </c>
      <c r="I433" s="11" t="s">
        <v>55</v>
      </c>
      <c r="J433" s="7" t="s">
        <v>55</v>
      </c>
      <c r="K433" s="7"/>
      <c r="L433" s="14" t="str">
        <f t="shared" si="1"/>
        <v>Não</v>
      </c>
      <c r="M433" s="11"/>
      <c r="N433" s="7"/>
      <c r="O433" s="7" t="s">
        <v>55</v>
      </c>
      <c r="P433" s="7"/>
      <c r="Q433" s="16" t="s">
        <v>57</v>
      </c>
      <c r="R433" s="16" t="s">
        <v>55</v>
      </c>
      <c r="S433" s="16" t="s">
        <v>55</v>
      </c>
      <c r="T433" s="16" t="s">
        <v>55</v>
      </c>
      <c r="U433" s="16" t="s">
        <v>57</v>
      </c>
      <c r="V433" s="16" t="s">
        <v>1440</v>
      </c>
      <c r="W433" s="16"/>
      <c r="X433" s="6"/>
      <c r="Y433" s="6"/>
      <c r="Z433" s="6"/>
    </row>
    <row r="434" ht="15.0" customHeight="1">
      <c r="A434" s="7" t="s">
        <v>2195</v>
      </c>
      <c r="B434" s="7" t="s">
        <v>2196</v>
      </c>
      <c r="C434" s="7" t="s">
        <v>2197</v>
      </c>
      <c r="D434" s="7" t="s">
        <v>163</v>
      </c>
      <c r="E434" s="7" t="s">
        <v>107</v>
      </c>
      <c r="F434" s="7" t="s">
        <v>109</v>
      </c>
      <c r="G434" s="11" t="s">
        <v>57</v>
      </c>
      <c r="H434" s="11" t="s">
        <v>55</v>
      </c>
      <c r="I434" s="11" t="s">
        <v>55</v>
      </c>
      <c r="J434" s="7" t="s">
        <v>55</v>
      </c>
      <c r="K434" s="7"/>
      <c r="L434" s="14" t="str">
        <f t="shared" si="1"/>
        <v>Não</v>
      </c>
      <c r="M434" s="11"/>
      <c r="N434" s="7"/>
      <c r="O434" s="7" t="s">
        <v>55</v>
      </c>
      <c r="P434" s="7"/>
      <c r="Q434" s="16" t="s">
        <v>57</v>
      </c>
      <c r="R434" s="16" t="s">
        <v>55</v>
      </c>
      <c r="S434" s="16" t="s">
        <v>55</v>
      </c>
      <c r="T434" s="16" t="s">
        <v>55</v>
      </c>
      <c r="U434" s="16" t="s">
        <v>57</v>
      </c>
      <c r="V434" s="16" t="s">
        <v>225</v>
      </c>
      <c r="W434" s="16"/>
      <c r="X434" s="6"/>
      <c r="Y434" s="6"/>
      <c r="Z434" s="6"/>
    </row>
    <row r="435" ht="15.0" customHeight="1">
      <c r="A435" s="7" t="s">
        <v>2198</v>
      </c>
      <c r="B435" s="7" t="s">
        <v>2199</v>
      </c>
      <c r="C435" s="7" t="s">
        <v>2200</v>
      </c>
      <c r="D435" s="7" t="s">
        <v>163</v>
      </c>
      <c r="E435" s="7" t="s">
        <v>85</v>
      </c>
      <c r="F435" s="7" t="s">
        <v>109</v>
      </c>
      <c r="G435" s="11" t="s">
        <v>57</v>
      </c>
      <c r="H435" s="11" t="s">
        <v>55</v>
      </c>
      <c r="I435" s="11" t="s">
        <v>55</v>
      </c>
      <c r="J435" s="7" t="s">
        <v>55</v>
      </c>
      <c r="K435" s="7"/>
      <c r="L435" s="14" t="str">
        <f t="shared" si="1"/>
        <v>Não</v>
      </c>
      <c r="M435" s="11"/>
      <c r="N435" s="7"/>
      <c r="O435" s="7" t="s">
        <v>55</v>
      </c>
      <c r="P435" s="7"/>
      <c r="Q435" s="16" t="s">
        <v>57</v>
      </c>
      <c r="R435" s="16" t="s">
        <v>55</v>
      </c>
      <c r="S435" s="16" t="s">
        <v>55</v>
      </c>
      <c r="T435" s="16" t="s">
        <v>55</v>
      </c>
      <c r="U435" s="16" t="s">
        <v>57</v>
      </c>
      <c r="V435" s="16" t="s">
        <v>225</v>
      </c>
      <c r="W435" s="16"/>
      <c r="X435" s="6"/>
      <c r="Y435" s="6"/>
      <c r="Z435" s="6"/>
    </row>
    <row r="436" ht="34.5" customHeight="1">
      <c r="A436" s="7" t="s">
        <v>2205</v>
      </c>
      <c r="B436" s="7" t="s">
        <v>2206</v>
      </c>
      <c r="C436" s="7" t="s">
        <v>2207</v>
      </c>
      <c r="D436" s="7" t="s">
        <v>163</v>
      </c>
      <c r="E436" s="7" t="s">
        <v>136</v>
      </c>
      <c r="F436" s="7" t="s">
        <v>109</v>
      </c>
      <c r="G436" s="11" t="s">
        <v>55</v>
      </c>
      <c r="H436" s="11" t="s">
        <v>55</v>
      </c>
      <c r="I436" s="11" t="s">
        <v>55</v>
      </c>
      <c r="J436" s="7" t="s">
        <v>55</v>
      </c>
      <c r="K436" s="11" t="s">
        <v>2210</v>
      </c>
      <c r="L436" s="14" t="str">
        <f t="shared" si="1"/>
        <v>Não</v>
      </c>
      <c r="M436" s="11"/>
      <c r="N436" s="7"/>
      <c r="O436" s="7" t="s">
        <v>55</v>
      </c>
      <c r="P436" s="7"/>
      <c r="Q436" s="16" t="s">
        <v>55</v>
      </c>
      <c r="R436" s="16" t="s">
        <v>55</v>
      </c>
      <c r="S436" s="16" t="s">
        <v>55</v>
      </c>
      <c r="T436" s="16" t="s">
        <v>55</v>
      </c>
      <c r="U436" s="16" t="s">
        <v>55</v>
      </c>
      <c r="V436" s="16" t="s">
        <v>184</v>
      </c>
      <c r="W436" s="16" t="s">
        <v>2211</v>
      </c>
      <c r="X436" s="6"/>
      <c r="Y436" s="6"/>
      <c r="Z436" s="6"/>
    </row>
    <row r="437" ht="15.0" customHeight="1">
      <c r="A437" s="7" t="s">
        <v>2212</v>
      </c>
      <c r="B437" s="7" t="s">
        <v>2213</v>
      </c>
      <c r="C437" s="7" t="s">
        <v>2214</v>
      </c>
      <c r="D437" s="7" t="s">
        <v>163</v>
      </c>
      <c r="E437" s="7" t="s">
        <v>300</v>
      </c>
      <c r="F437" s="7" t="s">
        <v>109</v>
      </c>
      <c r="G437" s="11" t="s">
        <v>57</v>
      </c>
      <c r="H437" s="11" t="s">
        <v>55</v>
      </c>
      <c r="I437" s="11" t="s">
        <v>55</v>
      </c>
      <c r="J437" s="7" t="s">
        <v>55</v>
      </c>
      <c r="K437" s="7"/>
      <c r="L437" s="14" t="str">
        <f t="shared" si="1"/>
        <v>Não</v>
      </c>
      <c r="M437" s="11"/>
      <c r="N437" s="7"/>
      <c r="O437" s="7" t="s">
        <v>55</v>
      </c>
      <c r="P437" s="7"/>
      <c r="Q437" s="16" t="s">
        <v>57</v>
      </c>
      <c r="R437" s="16" t="s">
        <v>55</v>
      </c>
      <c r="S437" s="16" t="s">
        <v>55</v>
      </c>
      <c r="T437" s="16" t="s">
        <v>55</v>
      </c>
      <c r="U437" s="16" t="s">
        <v>57</v>
      </c>
      <c r="V437" s="16" t="s">
        <v>1440</v>
      </c>
      <c r="W437" s="16"/>
      <c r="X437" s="6"/>
      <c r="Y437" s="6"/>
      <c r="Z437" s="6"/>
    </row>
    <row r="438" ht="15.0" customHeight="1">
      <c r="A438" s="7" t="s">
        <v>2216</v>
      </c>
      <c r="B438" s="7" t="s">
        <v>2217</v>
      </c>
      <c r="C438" s="7" t="s">
        <v>2218</v>
      </c>
      <c r="D438" s="7" t="s">
        <v>163</v>
      </c>
      <c r="E438" s="7" t="s">
        <v>291</v>
      </c>
      <c r="F438" s="7" t="s">
        <v>109</v>
      </c>
      <c r="G438" s="11" t="s">
        <v>57</v>
      </c>
      <c r="H438" s="11" t="s">
        <v>55</v>
      </c>
      <c r="I438" s="11" t="s">
        <v>55</v>
      </c>
      <c r="J438" s="11" t="s">
        <v>55</v>
      </c>
      <c r="K438" s="7"/>
      <c r="L438" s="14" t="str">
        <f t="shared" si="1"/>
        <v>Não</v>
      </c>
      <c r="M438" s="11"/>
      <c r="N438" s="7"/>
      <c r="O438" s="7" t="s">
        <v>55</v>
      </c>
      <c r="P438" s="7"/>
      <c r="Q438" s="16" t="s">
        <v>57</v>
      </c>
      <c r="R438" s="16" t="s">
        <v>55</v>
      </c>
      <c r="S438" s="16" t="s">
        <v>55</v>
      </c>
      <c r="T438" s="16" t="s">
        <v>55</v>
      </c>
      <c r="U438" s="16" t="s">
        <v>57</v>
      </c>
      <c r="V438" s="16" t="s">
        <v>1440</v>
      </c>
      <c r="W438" s="16"/>
      <c r="X438" s="6"/>
      <c r="Y438" s="6"/>
      <c r="Z438" s="6"/>
    </row>
    <row r="439" ht="15.0" customHeight="1">
      <c r="A439" s="7" t="s">
        <v>2219</v>
      </c>
      <c r="B439" s="7" t="s">
        <v>2220</v>
      </c>
      <c r="C439" s="7" t="s">
        <v>2221</v>
      </c>
      <c r="D439" s="7" t="s">
        <v>163</v>
      </c>
      <c r="E439" s="7" t="s">
        <v>107</v>
      </c>
      <c r="F439" s="7" t="s">
        <v>109</v>
      </c>
      <c r="G439" s="11" t="s">
        <v>57</v>
      </c>
      <c r="H439" s="11" t="s">
        <v>55</v>
      </c>
      <c r="I439" s="11" t="s">
        <v>55</v>
      </c>
      <c r="J439" s="7" t="s">
        <v>55</v>
      </c>
      <c r="K439" s="7"/>
      <c r="L439" s="14" t="str">
        <f t="shared" si="1"/>
        <v>Não</v>
      </c>
      <c r="M439" s="11"/>
      <c r="N439" s="7"/>
      <c r="O439" s="7" t="s">
        <v>55</v>
      </c>
      <c r="P439" s="7"/>
      <c r="Q439" s="16" t="s">
        <v>57</v>
      </c>
      <c r="R439" s="16" t="s">
        <v>55</v>
      </c>
      <c r="S439" s="16" t="s">
        <v>55</v>
      </c>
      <c r="T439" s="16" t="s">
        <v>55</v>
      </c>
      <c r="U439" s="16" t="s">
        <v>57</v>
      </c>
      <c r="V439" s="16" t="s">
        <v>225</v>
      </c>
      <c r="W439" s="16"/>
      <c r="X439" s="6"/>
      <c r="Y439" s="6"/>
      <c r="Z439" s="6"/>
    </row>
    <row r="440" ht="15.0" customHeight="1">
      <c r="A440" s="7" t="s">
        <v>2222</v>
      </c>
      <c r="B440" s="7" t="s">
        <v>2223</v>
      </c>
      <c r="C440" s="7" t="s">
        <v>2224</v>
      </c>
      <c r="D440" s="7" t="s">
        <v>163</v>
      </c>
      <c r="E440" s="7" t="s">
        <v>220</v>
      </c>
      <c r="F440" s="7" t="s">
        <v>109</v>
      </c>
      <c r="G440" s="11" t="s">
        <v>55</v>
      </c>
      <c r="H440" s="11" t="s">
        <v>55</v>
      </c>
      <c r="I440" s="11" t="s">
        <v>55</v>
      </c>
      <c r="J440" s="7" t="s">
        <v>55</v>
      </c>
      <c r="K440" s="7"/>
      <c r="L440" s="14" t="str">
        <f t="shared" si="1"/>
        <v>Sim</v>
      </c>
      <c r="M440" s="11"/>
      <c r="N440" s="7"/>
      <c r="O440" s="7" t="s">
        <v>55</v>
      </c>
      <c r="P440" s="7"/>
      <c r="Q440" s="16" t="s">
        <v>55</v>
      </c>
      <c r="R440" s="16" t="s">
        <v>55</v>
      </c>
      <c r="S440" s="16" t="s">
        <v>55</v>
      </c>
      <c r="T440" s="16" t="s">
        <v>55</v>
      </c>
      <c r="U440" s="16" t="s">
        <v>55</v>
      </c>
      <c r="V440" s="16" t="s">
        <v>184</v>
      </c>
      <c r="W440" s="16"/>
      <c r="X440" s="6"/>
      <c r="Y440" s="6"/>
      <c r="Z440" s="6"/>
    </row>
    <row r="441" ht="15.0" customHeight="1">
      <c r="A441" s="7" t="s">
        <v>2225</v>
      </c>
      <c r="B441" s="7" t="s">
        <v>2226</v>
      </c>
      <c r="C441" s="7" t="s">
        <v>2227</v>
      </c>
      <c r="D441" s="7" t="s">
        <v>163</v>
      </c>
      <c r="E441" s="7" t="s">
        <v>138</v>
      </c>
      <c r="F441" s="7" t="s">
        <v>109</v>
      </c>
      <c r="G441" s="11" t="s">
        <v>57</v>
      </c>
      <c r="H441" s="11" t="s">
        <v>55</v>
      </c>
      <c r="I441" s="11" t="s">
        <v>55</v>
      </c>
      <c r="J441" s="7" t="s">
        <v>55</v>
      </c>
      <c r="K441" s="7"/>
      <c r="L441" s="14" t="str">
        <f t="shared" si="1"/>
        <v>Não</v>
      </c>
      <c r="M441" s="11"/>
      <c r="N441" s="7"/>
      <c r="O441" s="7" t="s">
        <v>55</v>
      </c>
      <c r="P441" s="7"/>
      <c r="Q441" s="16" t="s">
        <v>57</v>
      </c>
      <c r="R441" s="16" t="s">
        <v>55</v>
      </c>
      <c r="S441" s="16" t="s">
        <v>55</v>
      </c>
      <c r="T441" s="16" t="s">
        <v>55</v>
      </c>
      <c r="U441" s="16" t="s">
        <v>57</v>
      </c>
      <c r="V441" s="16" t="s">
        <v>225</v>
      </c>
      <c r="W441" s="16"/>
      <c r="X441" s="6"/>
      <c r="Y441" s="6"/>
      <c r="Z441" s="6"/>
    </row>
    <row r="442" ht="15.0" customHeight="1">
      <c r="A442" s="7" t="s">
        <v>2228</v>
      </c>
      <c r="B442" s="7" t="s">
        <v>2229</v>
      </c>
      <c r="C442" s="7" t="s">
        <v>2230</v>
      </c>
      <c r="D442" s="7" t="s">
        <v>163</v>
      </c>
      <c r="E442" s="7" t="s">
        <v>267</v>
      </c>
      <c r="F442" s="7" t="s">
        <v>109</v>
      </c>
      <c r="G442" s="11" t="s">
        <v>55</v>
      </c>
      <c r="H442" s="11" t="s">
        <v>55</v>
      </c>
      <c r="I442" s="11" t="s">
        <v>55</v>
      </c>
      <c r="J442" s="7" t="s">
        <v>55</v>
      </c>
      <c r="K442" s="11" t="s">
        <v>2231</v>
      </c>
      <c r="L442" s="14" t="str">
        <f t="shared" si="1"/>
        <v>Não</v>
      </c>
      <c r="M442" s="11"/>
      <c r="N442" s="7"/>
      <c r="O442" s="7" t="s">
        <v>55</v>
      </c>
      <c r="P442" s="7"/>
      <c r="Q442" s="16" t="s">
        <v>55</v>
      </c>
      <c r="R442" s="16" t="s">
        <v>55</v>
      </c>
      <c r="S442" s="16" t="s">
        <v>55</v>
      </c>
      <c r="T442" s="16" t="s">
        <v>55</v>
      </c>
      <c r="U442" s="16" t="s">
        <v>55</v>
      </c>
      <c r="V442" s="16" t="s">
        <v>184</v>
      </c>
      <c r="W442" s="16" t="s">
        <v>2233</v>
      </c>
      <c r="X442" s="6"/>
      <c r="Y442" s="6"/>
      <c r="Z442" s="6"/>
    </row>
    <row r="443" ht="15.0" customHeight="1">
      <c r="A443" s="7" t="s">
        <v>2234</v>
      </c>
      <c r="B443" s="7" t="s">
        <v>2235</v>
      </c>
      <c r="C443" s="7" t="s">
        <v>2236</v>
      </c>
      <c r="D443" s="7" t="s">
        <v>163</v>
      </c>
      <c r="E443" s="7" t="s">
        <v>180</v>
      </c>
      <c r="F443" s="7" t="s">
        <v>109</v>
      </c>
      <c r="G443" s="11" t="s">
        <v>55</v>
      </c>
      <c r="H443" s="11" t="s">
        <v>55</v>
      </c>
      <c r="I443" s="11" t="s">
        <v>55</v>
      </c>
      <c r="J443" s="7" t="s">
        <v>55</v>
      </c>
      <c r="K443" s="7"/>
      <c r="L443" s="14" t="str">
        <f t="shared" si="1"/>
        <v>Sim</v>
      </c>
      <c r="M443" s="11"/>
      <c r="N443" s="7"/>
      <c r="O443" s="7" t="s">
        <v>55</v>
      </c>
      <c r="P443" s="7"/>
      <c r="Q443" s="16" t="s">
        <v>55</v>
      </c>
      <c r="R443" s="16" t="s">
        <v>55</v>
      </c>
      <c r="S443" s="16" t="s">
        <v>55</v>
      </c>
      <c r="T443" s="16" t="s">
        <v>55</v>
      </c>
      <c r="U443" s="16" t="s">
        <v>55</v>
      </c>
      <c r="V443" s="16" t="s">
        <v>184</v>
      </c>
      <c r="W443" s="16"/>
      <c r="X443" s="6"/>
      <c r="Y443" s="6"/>
      <c r="Z443" s="6"/>
    </row>
    <row r="444" ht="15.0" customHeight="1">
      <c r="A444" s="7" t="s">
        <v>2240</v>
      </c>
      <c r="B444" s="7" t="s">
        <v>2241</v>
      </c>
      <c r="C444" s="7" t="s">
        <v>2243</v>
      </c>
      <c r="D444" s="7" t="s">
        <v>163</v>
      </c>
      <c r="E444" s="7" t="s">
        <v>114</v>
      </c>
      <c r="F444" s="7" t="s">
        <v>109</v>
      </c>
      <c r="G444" s="11" t="s">
        <v>57</v>
      </c>
      <c r="H444" s="11" t="s">
        <v>55</v>
      </c>
      <c r="I444" s="11" t="s">
        <v>55</v>
      </c>
      <c r="J444" s="7" t="s">
        <v>55</v>
      </c>
      <c r="K444" s="7"/>
      <c r="L444" s="14" t="str">
        <f t="shared" si="1"/>
        <v>Não</v>
      </c>
      <c r="M444" s="11"/>
      <c r="N444" s="7"/>
      <c r="O444" s="7" t="s">
        <v>55</v>
      </c>
      <c r="P444" s="7"/>
      <c r="Q444" s="16" t="s">
        <v>57</v>
      </c>
      <c r="R444" s="16" t="s">
        <v>55</v>
      </c>
      <c r="S444" s="16" t="s">
        <v>55</v>
      </c>
      <c r="T444" s="16" t="s">
        <v>55</v>
      </c>
      <c r="U444" s="16" t="s">
        <v>57</v>
      </c>
      <c r="V444" s="16" t="s">
        <v>1440</v>
      </c>
      <c r="W444" s="16"/>
      <c r="X444" s="6"/>
      <c r="Y444" s="6"/>
      <c r="Z444" s="6"/>
    </row>
    <row r="445" ht="15.0" customHeight="1">
      <c r="A445" s="7" t="s">
        <v>2249</v>
      </c>
      <c r="B445" s="7" t="s">
        <v>2250</v>
      </c>
      <c r="C445" s="7" t="s">
        <v>2251</v>
      </c>
      <c r="D445" s="7" t="s">
        <v>163</v>
      </c>
      <c r="E445" s="7" t="s">
        <v>148</v>
      </c>
      <c r="F445" s="7" t="s">
        <v>109</v>
      </c>
      <c r="G445" s="11" t="s">
        <v>57</v>
      </c>
      <c r="H445" s="11" t="s">
        <v>55</v>
      </c>
      <c r="I445" s="11" t="s">
        <v>55</v>
      </c>
      <c r="J445" s="7" t="s">
        <v>55</v>
      </c>
      <c r="K445" s="7"/>
      <c r="L445" s="14" t="str">
        <f t="shared" si="1"/>
        <v>Não</v>
      </c>
      <c r="M445" s="11"/>
      <c r="N445" s="7"/>
      <c r="O445" s="7" t="s">
        <v>55</v>
      </c>
      <c r="P445" s="7"/>
      <c r="Q445" s="16" t="s">
        <v>57</v>
      </c>
      <c r="R445" s="16" t="s">
        <v>55</v>
      </c>
      <c r="S445" s="16" t="s">
        <v>55</v>
      </c>
      <c r="T445" s="16" t="s">
        <v>55</v>
      </c>
      <c r="U445" s="16" t="s">
        <v>57</v>
      </c>
      <c r="V445" s="16" t="s">
        <v>225</v>
      </c>
      <c r="W445" s="16"/>
      <c r="X445" s="6"/>
      <c r="Y445" s="6"/>
      <c r="Z445" s="6"/>
    </row>
    <row r="446" ht="15.0" customHeight="1">
      <c r="A446" s="7" t="s">
        <v>2253</v>
      </c>
      <c r="B446" s="7" t="s">
        <v>2254</v>
      </c>
      <c r="C446" s="7" t="s">
        <v>2255</v>
      </c>
      <c r="D446" s="7" t="s">
        <v>163</v>
      </c>
      <c r="E446" s="7" t="s">
        <v>243</v>
      </c>
      <c r="F446" s="7" t="s">
        <v>109</v>
      </c>
      <c r="G446" s="11" t="s">
        <v>57</v>
      </c>
      <c r="H446" s="11" t="s">
        <v>55</v>
      </c>
      <c r="I446" s="11" t="s">
        <v>1899</v>
      </c>
      <c r="J446" s="7" t="s">
        <v>55</v>
      </c>
      <c r="K446" s="7"/>
      <c r="L446" s="14" t="str">
        <f t="shared" si="1"/>
        <v>Não</v>
      </c>
      <c r="M446" s="11"/>
      <c r="N446" s="7"/>
      <c r="O446" s="7" t="s">
        <v>55</v>
      </c>
      <c r="P446" s="7"/>
      <c r="Q446" s="16" t="s">
        <v>57</v>
      </c>
      <c r="R446" s="16" t="s">
        <v>55</v>
      </c>
      <c r="S446" s="16" t="s">
        <v>55</v>
      </c>
      <c r="T446" s="16" t="s">
        <v>55</v>
      </c>
      <c r="U446" s="16" t="s">
        <v>57</v>
      </c>
      <c r="V446" s="16" t="s">
        <v>225</v>
      </c>
      <c r="W446" s="16"/>
      <c r="X446" s="6"/>
      <c r="Y446" s="6"/>
      <c r="Z446" s="6"/>
    </row>
    <row r="447" ht="15.0" customHeight="1">
      <c r="A447" s="7" t="s">
        <v>2257</v>
      </c>
      <c r="B447" s="7" t="s">
        <v>2258</v>
      </c>
      <c r="C447" s="7" t="s">
        <v>2259</v>
      </c>
      <c r="D447" s="7" t="s">
        <v>163</v>
      </c>
      <c r="E447" s="7" t="s">
        <v>180</v>
      </c>
      <c r="F447" s="7" t="s">
        <v>109</v>
      </c>
      <c r="G447" s="11" t="s">
        <v>55</v>
      </c>
      <c r="H447" s="11" t="s">
        <v>55</v>
      </c>
      <c r="I447" s="11" t="s">
        <v>55</v>
      </c>
      <c r="J447" s="7" t="s">
        <v>55</v>
      </c>
      <c r="K447" s="11" t="s">
        <v>2260</v>
      </c>
      <c r="L447" s="14" t="str">
        <f t="shared" si="1"/>
        <v>Não</v>
      </c>
      <c r="M447" s="11"/>
      <c r="N447" s="7"/>
      <c r="O447" s="7" t="s">
        <v>55</v>
      </c>
      <c r="P447" s="7"/>
      <c r="Q447" s="16" t="s">
        <v>55</v>
      </c>
      <c r="R447" s="16" t="s">
        <v>55</v>
      </c>
      <c r="S447" s="16" t="s">
        <v>55</v>
      </c>
      <c r="T447" s="16" t="s">
        <v>55</v>
      </c>
      <c r="U447" s="16" t="s">
        <v>55</v>
      </c>
      <c r="V447" s="16" t="s">
        <v>184</v>
      </c>
      <c r="W447" s="16" t="s">
        <v>2261</v>
      </c>
      <c r="X447" s="6"/>
      <c r="Y447" s="6"/>
      <c r="Z447" s="6"/>
    </row>
    <row r="448" ht="15.0" customHeight="1">
      <c r="A448" s="7" t="s">
        <v>2262</v>
      </c>
      <c r="B448" s="7" t="s">
        <v>2263</v>
      </c>
      <c r="C448" s="7" t="s">
        <v>2264</v>
      </c>
      <c r="D448" s="7" t="s">
        <v>163</v>
      </c>
      <c r="E448" s="7" t="s">
        <v>306</v>
      </c>
      <c r="F448" s="7" t="s">
        <v>109</v>
      </c>
      <c r="G448" s="11" t="s">
        <v>57</v>
      </c>
      <c r="H448" s="11" t="s">
        <v>55</v>
      </c>
      <c r="I448" s="11" t="s">
        <v>55</v>
      </c>
      <c r="J448" s="7" t="s">
        <v>55</v>
      </c>
      <c r="K448" s="7"/>
      <c r="L448" s="14" t="str">
        <f t="shared" si="1"/>
        <v>Não</v>
      </c>
      <c r="M448" s="11"/>
      <c r="N448" s="7"/>
      <c r="O448" s="7" t="s">
        <v>55</v>
      </c>
      <c r="P448" s="7"/>
      <c r="Q448" s="16" t="s">
        <v>57</v>
      </c>
      <c r="R448" s="16" t="s">
        <v>55</v>
      </c>
      <c r="S448" s="16" t="s">
        <v>55</v>
      </c>
      <c r="T448" s="16" t="s">
        <v>55</v>
      </c>
      <c r="U448" s="16" t="s">
        <v>57</v>
      </c>
      <c r="V448" s="16" t="s">
        <v>1440</v>
      </c>
      <c r="W448" s="16"/>
      <c r="X448" s="6"/>
      <c r="Y448" s="6"/>
      <c r="Z448" s="6"/>
    </row>
    <row r="449" ht="15.0" customHeight="1">
      <c r="A449" s="7" t="s">
        <v>2266</v>
      </c>
      <c r="B449" s="7" t="s">
        <v>2267</v>
      </c>
      <c r="C449" s="7" t="s">
        <v>2268</v>
      </c>
      <c r="D449" s="7" t="s">
        <v>163</v>
      </c>
      <c r="E449" s="7" t="s">
        <v>107</v>
      </c>
      <c r="F449" s="7" t="s">
        <v>109</v>
      </c>
      <c r="G449" s="11" t="s">
        <v>57</v>
      </c>
      <c r="H449" s="11" t="s">
        <v>55</v>
      </c>
      <c r="I449" s="11" t="s">
        <v>55</v>
      </c>
      <c r="J449" s="7" t="s">
        <v>55</v>
      </c>
      <c r="K449" s="7"/>
      <c r="L449" s="14" t="str">
        <f t="shared" si="1"/>
        <v>Não</v>
      </c>
      <c r="M449" s="11"/>
      <c r="N449" s="7"/>
      <c r="O449" s="7" t="s">
        <v>55</v>
      </c>
      <c r="P449" s="7"/>
      <c r="Q449" s="16" t="s">
        <v>57</v>
      </c>
      <c r="R449" s="16" t="s">
        <v>55</v>
      </c>
      <c r="S449" s="16" t="s">
        <v>55</v>
      </c>
      <c r="T449" s="16" t="s">
        <v>55</v>
      </c>
      <c r="U449" s="16" t="s">
        <v>57</v>
      </c>
      <c r="V449" s="16" t="s">
        <v>225</v>
      </c>
      <c r="W449" s="16"/>
      <c r="X449" s="6"/>
      <c r="Y449" s="6"/>
      <c r="Z449" s="6"/>
    </row>
    <row r="450" ht="15.0" customHeight="1">
      <c r="A450" s="7" t="s">
        <v>2269</v>
      </c>
      <c r="B450" s="7" t="s">
        <v>2270</v>
      </c>
      <c r="C450" s="7" t="s">
        <v>2271</v>
      </c>
      <c r="D450" s="7" t="s">
        <v>163</v>
      </c>
      <c r="E450" s="7" t="s">
        <v>213</v>
      </c>
      <c r="F450" s="7" t="s">
        <v>109</v>
      </c>
      <c r="G450" s="11" t="s">
        <v>57</v>
      </c>
      <c r="H450" s="11" t="s">
        <v>55</v>
      </c>
      <c r="I450" s="11" t="s">
        <v>55</v>
      </c>
      <c r="J450" s="7" t="s">
        <v>55</v>
      </c>
      <c r="K450" s="7"/>
      <c r="L450" s="14" t="str">
        <f t="shared" si="1"/>
        <v>Não</v>
      </c>
      <c r="M450" s="11"/>
      <c r="N450" s="7"/>
      <c r="O450" s="7" t="s">
        <v>55</v>
      </c>
      <c r="P450" s="7"/>
      <c r="Q450" s="16" t="s">
        <v>57</v>
      </c>
      <c r="R450" s="16" t="s">
        <v>55</v>
      </c>
      <c r="S450" s="16" t="s">
        <v>55</v>
      </c>
      <c r="T450" s="16" t="s">
        <v>55</v>
      </c>
      <c r="U450" s="16" t="s">
        <v>57</v>
      </c>
      <c r="V450" s="16" t="s">
        <v>225</v>
      </c>
      <c r="W450" s="16"/>
      <c r="X450" s="6"/>
      <c r="Y450" s="6"/>
      <c r="Z450" s="6"/>
    </row>
    <row r="451" ht="15.0" customHeight="1">
      <c r="A451" s="7" t="s">
        <v>2273</v>
      </c>
      <c r="B451" s="7" t="s">
        <v>2274</v>
      </c>
      <c r="C451" s="7" t="s">
        <v>2275</v>
      </c>
      <c r="D451" s="7" t="s">
        <v>163</v>
      </c>
      <c r="E451" s="7" t="s">
        <v>85</v>
      </c>
      <c r="F451" s="7" t="s">
        <v>109</v>
      </c>
      <c r="G451" s="11" t="s">
        <v>55</v>
      </c>
      <c r="H451" s="11" t="s">
        <v>55</v>
      </c>
      <c r="I451" s="11" t="s">
        <v>55</v>
      </c>
      <c r="J451" s="7" t="s">
        <v>55</v>
      </c>
      <c r="K451" s="11" t="s">
        <v>2277</v>
      </c>
      <c r="L451" s="14" t="str">
        <f t="shared" si="1"/>
        <v>Não</v>
      </c>
      <c r="M451" s="11"/>
      <c r="N451" s="7"/>
      <c r="O451" s="7" t="s">
        <v>55</v>
      </c>
      <c r="P451" s="7"/>
      <c r="Q451" s="16" t="s">
        <v>55</v>
      </c>
      <c r="R451" s="16" t="s">
        <v>55</v>
      </c>
      <c r="S451" s="16" t="s">
        <v>55</v>
      </c>
      <c r="T451" s="16" t="s">
        <v>55</v>
      </c>
      <c r="U451" s="16" t="s">
        <v>55</v>
      </c>
      <c r="V451" s="16" t="s">
        <v>1577</v>
      </c>
      <c r="W451" s="16" t="s">
        <v>2278</v>
      </c>
      <c r="X451" s="6"/>
      <c r="Y451" s="6"/>
      <c r="Z451" s="6"/>
    </row>
    <row r="452" ht="15.0" customHeight="1">
      <c r="A452" s="7" t="s">
        <v>2279</v>
      </c>
      <c r="B452" s="7" t="s">
        <v>2280</v>
      </c>
      <c r="C452" s="7" t="s">
        <v>2281</v>
      </c>
      <c r="D452" s="7" t="s">
        <v>163</v>
      </c>
      <c r="E452" s="7" t="s">
        <v>85</v>
      </c>
      <c r="F452" s="7" t="s">
        <v>109</v>
      </c>
      <c r="G452" s="11" t="s">
        <v>55</v>
      </c>
      <c r="H452" s="11" t="s">
        <v>55</v>
      </c>
      <c r="I452" s="11" t="s">
        <v>55</v>
      </c>
      <c r="J452" s="7" t="s">
        <v>55</v>
      </c>
      <c r="K452" s="11" t="s">
        <v>2282</v>
      </c>
      <c r="L452" s="14" t="str">
        <f t="shared" si="1"/>
        <v>Não</v>
      </c>
      <c r="M452" s="11"/>
      <c r="N452" s="7"/>
      <c r="O452" s="7" t="s">
        <v>55</v>
      </c>
      <c r="P452" s="7"/>
      <c r="Q452" s="16" t="s">
        <v>55</v>
      </c>
      <c r="R452" s="16" t="s">
        <v>55</v>
      </c>
      <c r="S452" s="16" t="s">
        <v>55</v>
      </c>
      <c r="T452" s="16" t="s">
        <v>55</v>
      </c>
      <c r="U452" s="16" t="s">
        <v>55</v>
      </c>
      <c r="V452" s="16" t="s">
        <v>184</v>
      </c>
      <c r="W452" s="16" t="s">
        <v>2284</v>
      </c>
      <c r="X452" s="6"/>
      <c r="Y452" s="6"/>
      <c r="Z452" s="6"/>
    </row>
    <row r="453" ht="27.75" customHeight="1">
      <c r="A453" s="7" t="s">
        <v>2285</v>
      </c>
      <c r="B453" s="7" t="s">
        <v>2286</v>
      </c>
      <c r="C453" s="7" t="s">
        <v>2287</v>
      </c>
      <c r="D453" s="7" t="s">
        <v>163</v>
      </c>
      <c r="E453" s="7" t="s">
        <v>138</v>
      </c>
      <c r="F453" s="7" t="s">
        <v>109</v>
      </c>
      <c r="G453" s="11" t="s">
        <v>55</v>
      </c>
      <c r="H453" s="11" t="s">
        <v>1899</v>
      </c>
      <c r="I453" s="11" t="s">
        <v>55</v>
      </c>
      <c r="J453" s="7" t="s">
        <v>55</v>
      </c>
      <c r="K453" s="11" t="s">
        <v>2289</v>
      </c>
      <c r="L453" s="14" t="str">
        <f t="shared" si="1"/>
        <v>Não</v>
      </c>
      <c r="M453" s="11"/>
      <c r="N453" s="7"/>
      <c r="O453" s="7" t="s">
        <v>55</v>
      </c>
      <c r="P453" s="7"/>
      <c r="Q453" s="16" t="s">
        <v>55</v>
      </c>
      <c r="R453" s="16" t="s">
        <v>55</v>
      </c>
      <c r="S453" s="16" t="s">
        <v>55</v>
      </c>
      <c r="T453" s="16" t="s">
        <v>55</v>
      </c>
      <c r="U453" s="16" t="s">
        <v>55</v>
      </c>
      <c r="V453" s="16" t="s">
        <v>184</v>
      </c>
      <c r="W453" s="16" t="s">
        <v>2292</v>
      </c>
      <c r="X453" s="6"/>
      <c r="Y453" s="6"/>
      <c r="Z453" s="6"/>
    </row>
    <row r="454" ht="15.0" customHeight="1">
      <c r="A454" s="7" t="s">
        <v>2293</v>
      </c>
      <c r="B454" s="7" t="s">
        <v>2294</v>
      </c>
      <c r="C454" s="7" t="s">
        <v>2296</v>
      </c>
      <c r="D454" s="7" t="s">
        <v>163</v>
      </c>
      <c r="E454" s="7" t="s">
        <v>300</v>
      </c>
      <c r="F454" s="7" t="s">
        <v>109</v>
      </c>
      <c r="G454" s="11" t="s">
        <v>57</v>
      </c>
      <c r="H454" s="11" t="s">
        <v>55</v>
      </c>
      <c r="I454" s="11" t="s">
        <v>55</v>
      </c>
      <c r="J454" s="7" t="s">
        <v>55</v>
      </c>
      <c r="K454" s="7"/>
      <c r="L454" s="14" t="str">
        <f t="shared" si="1"/>
        <v>Não</v>
      </c>
      <c r="M454" s="11"/>
      <c r="N454" s="7"/>
      <c r="O454" s="7" t="s">
        <v>55</v>
      </c>
      <c r="P454" s="7"/>
      <c r="Q454" s="16" t="s">
        <v>57</v>
      </c>
      <c r="R454" s="16" t="s">
        <v>55</v>
      </c>
      <c r="S454" s="16" t="s">
        <v>55</v>
      </c>
      <c r="T454" s="16" t="s">
        <v>55</v>
      </c>
      <c r="U454" s="16" t="s">
        <v>57</v>
      </c>
      <c r="V454" s="16" t="s">
        <v>1440</v>
      </c>
      <c r="W454" s="16"/>
      <c r="X454" s="6"/>
      <c r="Y454" s="6"/>
      <c r="Z454" s="6"/>
    </row>
    <row r="455" ht="15.0" customHeight="1">
      <c r="A455" s="7" t="s">
        <v>2299</v>
      </c>
      <c r="B455" s="7" t="s">
        <v>2300</v>
      </c>
      <c r="C455" s="7" t="s">
        <v>2301</v>
      </c>
      <c r="D455" s="7" t="s">
        <v>163</v>
      </c>
      <c r="E455" s="7" t="s">
        <v>80</v>
      </c>
      <c r="F455" s="7" t="s">
        <v>109</v>
      </c>
      <c r="G455" s="11" t="s">
        <v>55</v>
      </c>
      <c r="H455" s="11" t="s">
        <v>55</v>
      </c>
      <c r="I455" s="11" t="s">
        <v>55</v>
      </c>
      <c r="J455" s="7" t="s">
        <v>55</v>
      </c>
      <c r="K455" s="11" t="s">
        <v>2302</v>
      </c>
      <c r="L455" s="14" t="str">
        <f t="shared" si="1"/>
        <v>Não</v>
      </c>
      <c r="M455" s="11"/>
      <c r="N455" s="7"/>
      <c r="O455" s="7" t="s">
        <v>55</v>
      </c>
      <c r="P455" s="7"/>
      <c r="Q455" s="16" t="s">
        <v>55</v>
      </c>
      <c r="R455" s="16" t="s">
        <v>55</v>
      </c>
      <c r="S455" s="16" t="s">
        <v>55</v>
      </c>
      <c r="T455" s="16" t="s">
        <v>55</v>
      </c>
      <c r="U455" s="16" t="s">
        <v>55</v>
      </c>
      <c r="V455" s="16" t="s">
        <v>184</v>
      </c>
      <c r="W455" s="16" t="s">
        <v>2306</v>
      </c>
      <c r="X455" s="6"/>
      <c r="Y455" s="6"/>
      <c r="Z455" s="6"/>
    </row>
    <row r="456" ht="15.0" customHeight="1">
      <c r="A456" s="7" t="s">
        <v>2308</v>
      </c>
      <c r="B456" s="7" t="s">
        <v>2309</v>
      </c>
      <c r="C456" s="7" t="s">
        <v>2311</v>
      </c>
      <c r="D456" s="7" t="s">
        <v>163</v>
      </c>
      <c r="E456" s="7" t="s">
        <v>243</v>
      </c>
      <c r="F456" s="7" t="s">
        <v>109</v>
      </c>
      <c r="G456" s="11" t="s">
        <v>57</v>
      </c>
      <c r="H456" s="11" t="s">
        <v>55</v>
      </c>
      <c r="I456" s="11" t="s">
        <v>55</v>
      </c>
      <c r="J456" s="7" t="s">
        <v>55</v>
      </c>
      <c r="K456" s="7"/>
      <c r="L456" s="14" t="str">
        <f t="shared" si="1"/>
        <v>Não</v>
      </c>
      <c r="M456" s="11"/>
      <c r="N456" s="7"/>
      <c r="O456" s="7" t="s">
        <v>55</v>
      </c>
      <c r="P456" s="7"/>
      <c r="Q456" s="16" t="s">
        <v>57</v>
      </c>
      <c r="R456" s="16" t="s">
        <v>55</v>
      </c>
      <c r="S456" s="16" t="s">
        <v>55</v>
      </c>
      <c r="T456" s="16" t="s">
        <v>55</v>
      </c>
      <c r="U456" s="16" t="s">
        <v>57</v>
      </c>
      <c r="V456" s="16" t="s">
        <v>225</v>
      </c>
      <c r="W456" s="16"/>
      <c r="X456" s="6"/>
      <c r="Y456" s="6"/>
      <c r="Z456" s="6"/>
    </row>
    <row r="457" ht="15.0" customHeight="1">
      <c r="A457" s="7" t="s">
        <v>2313</v>
      </c>
      <c r="B457" s="7" t="s">
        <v>2314</v>
      </c>
      <c r="C457" s="7" t="s">
        <v>2315</v>
      </c>
      <c r="D457" s="7" t="s">
        <v>163</v>
      </c>
      <c r="E457" s="7" t="s">
        <v>300</v>
      </c>
      <c r="F457" s="7" t="s">
        <v>109</v>
      </c>
      <c r="G457" s="11" t="s">
        <v>57</v>
      </c>
      <c r="H457" s="11" t="s">
        <v>55</v>
      </c>
      <c r="I457" s="11" t="s">
        <v>55</v>
      </c>
      <c r="J457" s="7" t="s">
        <v>55</v>
      </c>
      <c r="K457" s="7"/>
      <c r="L457" s="14" t="str">
        <f t="shared" si="1"/>
        <v>Não</v>
      </c>
      <c r="M457" s="11"/>
      <c r="N457" s="7"/>
      <c r="O457" s="7" t="s">
        <v>55</v>
      </c>
      <c r="P457" s="7"/>
      <c r="Q457" s="16" t="s">
        <v>57</v>
      </c>
      <c r="R457" s="16" t="s">
        <v>55</v>
      </c>
      <c r="S457" s="16" t="s">
        <v>55</v>
      </c>
      <c r="T457" s="16" t="s">
        <v>55</v>
      </c>
      <c r="U457" s="16" t="s">
        <v>57</v>
      </c>
      <c r="V457" s="16" t="s">
        <v>1440</v>
      </c>
      <c r="W457" s="16"/>
      <c r="X457" s="6"/>
      <c r="Y457" s="6"/>
      <c r="Z457" s="6"/>
    </row>
    <row r="458" ht="15.0" customHeight="1">
      <c r="A458" s="7" t="s">
        <v>2316</v>
      </c>
      <c r="B458" s="7" t="s">
        <v>2317</v>
      </c>
      <c r="C458" s="7" t="s">
        <v>2318</v>
      </c>
      <c r="D458" s="7" t="s">
        <v>163</v>
      </c>
      <c r="E458" s="7" t="s">
        <v>194</v>
      </c>
      <c r="F458" s="7" t="s">
        <v>109</v>
      </c>
      <c r="G458" s="11" t="s">
        <v>55</v>
      </c>
      <c r="H458" s="11" t="s">
        <v>55</v>
      </c>
      <c r="I458" s="11" t="s">
        <v>55</v>
      </c>
      <c r="J458" s="7" t="s">
        <v>55</v>
      </c>
      <c r="K458" s="11" t="s">
        <v>2319</v>
      </c>
      <c r="L458" s="14" t="str">
        <f t="shared" si="1"/>
        <v>Não</v>
      </c>
      <c r="M458" s="11"/>
      <c r="N458" s="7"/>
      <c r="O458" s="7" t="s">
        <v>55</v>
      </c>
      <c r="P458" s="7"/>
      <c r="Q458" s="16" t="s">
        <v>55</v>
      </c>
      <c r="R458" s="16" t="s">
        <v>55</v>
      </c>
      <c r="S458" s="16" t="s">
        <v>55</v>
      </c>
      <c r="T458" s="16" t="s">
        <v>55</v>
      </c>
      <c r="U458" s="16" t="s">
        <v>55</v>
      </c>
      <c r="V458" s="16" t="s">
        <v>1577</v>
      </c>
      <c r="W458" s="16" t="s">
        <v>2320</v>
      </c>
      <c r="X458" s="6"/>
      <c r="Y458" s="6"/>
      <c r="Z458" s="6"/>
    </row>
    <row r="459" ht="15.0" customHeight="1">
      <c r="A459" s="7" t="s">
        <v>2321</v>
      </c>
      <c r="B459" s="7" t="s">
        <v>2322</v>
      </c>
      <c r="C459" s="7" t="s">
        <v>2323</v>
      </c>
      <c r="D459" s="7" t="s">
        <v>163</v>
      </c>
      <c r="E459" s="7" t="s">
        <v>243</v>
      </c>
      <c r="F459" s="7" t="s">
        <v>109</v>
      </c>
      <c r="G459" s="11" t="s">
        <v>57</v>
      </c>
      <c r="H459" s="11" t="s">
        <v>55</v>
      </c>
      <c r="I459" s="11" t="s">
        <v>55</v>
      </c>
      <c r="J459" s="7" t="s">
        <v>55</v>
      </c>
      <c r="K459" s="7"/>
      <c r="L459" s="14" t="str">
        <f t="shared" si="1"/>
        <v>Não</v>
      </c>
      <c r="M459" s="11"/>
      <c r="N459" s="7"/>
      <c r="O459" s="7" t="s">
        <v>55</v>
      </c>
      <c r="P459" s="7"/>
      <c r="Q459" s="16" t="s">
        <v>57</v>
      </c>
      <c r="R459" s="16" t="s">
        <v>55</v>
      </c>
      <c r="S459" s="16" t="s">
        <v>55</v>
      </c>
      <c r="T459" s="16" t="s">
        <v>55</v>
      </c>
      <c r="U459" s="16" t="s">
        <v>57</v>
      </c>
      <c r="V459" s="16" t="s">
        <v>225</v>
      </c>
      <c r="W459" s="16"/>
      <c r="X459" s="6"/>
      <c r="Y459" s="6"/>
      <c r="Z459" s="6"/>
    </row>
    <row r="460" ht="15.0" customHeight="1">
      <c r="A460" s="7" t="s">
        <v>2324</v>
      </c>
      <c r="B460" s="7" t="s">
        <v>2325</v>
      </c>
      <c r="C460" s="7" t="s">
        <v>2326</v>
      </c>
      <c r="D460" s="7" t="s">
        <v>163</v>
      </c>
      <c r="E460" s="7" t="s">
        <v>259</v>
      </c>
      <c r="F460" s="7" t="s">
        <v>109</v>
      </c>
      <c r="G460" s="11" t="s">
        <v>55</v>
      </c>
      <c r="H460" s="11" t="s">
        <v>55</v>
      </c>
      <c r="I460" s="11" t="s">
        <v>55</v>
      </c>
      <c r="J460" s="7" t="s">
        <v>55</v>
      </c>
      <c r="K460" s="11" t="s">
        <v>463</v>
      </c>
      <c r="L460" s="14" t="str">
        <f t="shared" si="1"/>
        <v>Não</v>
      </c>
      <c r="M460" s="11"/>
      <c r="N460" s="7"/>
      <c r="O460" s="7" t="s">
        <v>55</v>
      </c>
      <c r="P460" s="7"/>
      <c r="Q460" s="16" t="s">
        <v>55</v>
      </c>
      <c r="R460" s="16" t="s">
        <v>55</v>
      </c>
      <c r="S460" s="16" t="s">
        <v>55</v>
      </c>
      <c r="T460" s="16" t="s">
        <v>55</v>
      </c>
      <c r="U460" s="16" t="s">
        <v>55</v>
      </c>
      <c r="V460" s="16" t="s">
        <v>184</v>
      </c>
      <c r="W460" s="16" t="s">
        <v>2327</v>
      </c>
      <c r="X460" s="6"/>
      <c r="Y460" s="6"/>
      <c r="Z460" s="6"/>
    </row>
    <row r="461" ht="15.0" customHeight="1">
      <c r="A461" s="7" t="s">
        <v>2328</v>
      </c>
      <c r="B461" s="7" t="s">
        <v>2329</v>
      </c>
      <c r="C461" s="7" t="s">
        <v>2330</v>
      </c>
      <c r="D461" s="7" t="s">
        <v>163</v>
      </c>
      <c r="E461" s="7" t="s">
        <v>80</v>
      </c>
      <c r="F461" s="7" t="s">
        <v>109</v>
      </c>
      <c r="G461" s="11" t="s">
        <v>55</v>
      </c>
      <c r="H461" s="11" t="s">
        <v>55</v>
      </c>
      <c r="I461" s="11" t="s">
        <v>55</v>
      </c>
      <c r="J461" s="7" t="s">
        <v>55</v>
      </c>
      <c r="K461" s="7"/>
      <c r="L461" s="14" t="str">
        <f t="shared" si="1"/>
        <v>Sim</v>
      </c>
      <c r="M461" s="11"/>
      <c r="N461" s="7"/>
      <c r="O461" s="7" t="s">
        <v>55</v>
      </c>
      <c r="P461" s="7"/>
      <c r="Q461" s="16" t="s">
        <v>55</v>
      </c>
      <c r="R461" s="16" t="s">
        <v>55</v>
      </c>
      <c r="S461" s="16" t="s">
        <v>55</v>
      </c>
      <c r="T461" s="16" t="s">
        <v>55</v>
      </c>
      <c r="U461" s="16" t="s">
        <v>55</v>
      </c>
      <c r="V461" s="16" t="s">
        <v>184</v>
      </c>
      <c r="W461" s="16"/>
      <c r="X461" s="6"/>
      <c r="Y461" s="6"/>
      <c r="Z461" s="6"/>
    </row>
    <row r="462" ht="15.0" customHeight="1">
      <c r="A462" s="7" t="s">
        <v>2331</v>
      </c>
      <c r="B462" s="7" t="s">
        <v>2332</v>
      </c>
      <c r="C462" s="7" t="s">
        <v>2333</v>
      </c>
      <c r="D462" s="7" t="s">
        <v>163</v>
      </c>
      <c r="E462" s="7" t="s">
        <v>286</v>
      </c>
      <c r="F462" s="7" t="s">
        <v>109</v>
      </c>
      <c r="G462" s="11" t="s">
        <v>57</v>
      </c>
      <c r="H462" s="11" t="s">
        <v>55</v>
      </c>
      <c r="I462" s="11" t="s">
        <v>55</v>
      </c>
      <c r="J462" s="7" t="s">
        <v>55</v>
      </c>
      <c r="K462" s="7"/>
      <c r="L462" s="14" t="str">
        <f t="shared" si="1"/>
        <v>Não</v>
      </c>
      <c r="M462" s="11"/>
      <c r="N462" s="7"/>
      <c r="O462" s="7" t="s">
        <v>55</v>
      </c>
      <c r="P462" s="7"/>
      <c r="Q462" s="16" t="s">
        <v>57</v>
      </c>
      <c r="R462" s="16" t="s">
        <v>55</v>
      </c>
      <c r="S462" s="16" t="s">
        <v>55</v>
      </c>
      <c r="T462" s="16" t="s">
        <v>55</v>
      </c>
      <c r="U462" s="16" t="s">
        <v>57</v>
      </c>
      <c r="V462" s="16" t="s">
        <v>225</v>
      </c>
      <c r="W462" s="16"/>
      <c r="X462" s="6"/>
      <c r="Y462" s="6"/>
      <c r="Z462" s="6"/>
    </row>
    <row r="463" ht="15.0" customHeight="1">
      <c r="A463" s="7" t="s">
        <v>2336</v>
      </c>
      <c r="B463" s="7" t="s">
        <v>2337</v>
      </c>
      <c r="C463" s="7" t="s">
        <v>2338</v>
      </c>
      <c r="D463" s="7" t="s">
        <v>163</v>
      </c>
      <c r="E463" s="7" t="s">
        <v>165</v>
      </c>
      <c r="F463" s="7" t="s">
        <v>109</v>
      </c>
      <c r="G463" s="11" t="s">
        <v>57</v>
      </c>
      <c r="H463" s="11" t="s">
        <v>55</v>
      </c>
      <c r="I463" s="11" t="s">
        <v>55</v>
      </c>
      <c r="J463" s="7" t="s">
        <v>55</v>
      </c>
      <c r="K463" s="7"/>
      <c r="L463" s="14" t="str">
        <f t="shared" si="1"/>
        <v>Não</v>
      </c>
      <c r="M463" s="11"/>
      <c r="N463" s="7"/>
      <c r="O463" s="7" t="s">
        <v>55</v>
      </c>
      <c r="P463" s="7"/>
      <c r="Q463" s="16" t="s">
        <v>57</v>
      </c>
      <c r="R463" s="16" t="s">
        <v>55</v>
      </c>
      <c r="S463" s="16" t="s">
        <v>55</v>
      </c>
      <c r="T463" s="16" t="s">
        <v>55</v>
      </c>
      <c r="U463" s="16" t="s">
        <v>57</v>
      </c>
      <c r="V463" s="16" t="s">
        <v>1440</v>
      </c>
      <c r="W463" s="16"/>
      <c r="X463" s="6"/>
      <c r="Y463" s="6"/>
      <c r="Z463" s="6"/>
    </row>
    <row r="464" ht="15.0" customHeight="1">
      <c r="A464" s="7" t="s">
        <v>2343</v>
      </c>
      <c r="B464" s="7" t="s">
        <v>2344</v>
      </c>
      <c r="C464" s="7" t="s">
        <v>2345</v>
      </c>
      <c r="D464" s="7" t="s">
        <v>163</v>
      </c>
      <c r="E464" s="7" t="s">
        <v>85</v>
      </c>
      <c r="F464" s="7" t="s">
        <v>109</v>
      </c>
      <c r="G464" s="11" t="s">
        <v>55</v>
      </c>
      <c r="H464" s="11" t="s">
        <v>55</v>
      </c>
      <c r="I464" s="11" t="s">
        <v>55</v>
      </c>
      <c r="J464" s="7" t="s">
        <v>55</v>
      </c>
      <c r="K464" s="11" t="s">
        <v>2282</v>
      </c>
      <c r="L464" s="14" t="str">
        <f t="shared" si="1"/>
        <v>Não</v>
      </c>
      <c r="M464" s="11"/>
      <c r="N464" s="7"/>
      <c r="O464" s="7" t="s">
        <v>55</v>
      </c>
      <c r="P464" s="7"/>
      <c r="Q464" s="16" t="s">
        <v>55</v>
      </c>
      <c r="R464" s="16" t="s">
        <v>55</v>
      </c>
      <c r="S464" s="16" t="s">
        <v>55</v>
      </c>
      <c r="T464" s="16" t="s">
        <v>55</v>
      </c>
      <c r="U464" s="16" t="s">
        <v>55</v>
      </c>
      <c r="V464" s="16" t="s">
        <v>184</v>
      </c>
      <c r="W464" s="16" t="s">
        <v>2284</v>
      </c>
      <c r="X464" s="6"/>
      <c r="Y464" s="6"/>
      <c r="Z464" s="6"/>
    </row>
    <row r="465" ht="15.0" customHeight="1">
      <c r="A465" s="7" t="s">
        <v>2346</v>
      </c>
      <c r="B465" s="7" t="s">
        <v>2347</v>
      </c>
      <c r="C465" s="7" t="s">
        <v>2348</v>
      </c>
      <c r="D465" s="7" t="s">
        <v>163</v>
      </c>
      <c r="E465" s="7" t="s">
        <v>80</v>
      </c>
      <c r="F465" s="7" t="s">
        <v>109</v>
      </c>
      <c r="G465" s="11" t="s">
        <v>57</v>
      </c>
      <c r="H465" s="11" t="s">
        <v>55</v>
      </c>
      <c r="I465" s="11" t="s">
        <v>55</v>
      </c>
      <c r="J465" s="7" t="s">
        <v>55</v>
      </c>
      <c r="K465" s="7"/>
      <c r="L465" s="14" t="str">
        <f t="shared" si="1"/>
        <v>Não</v>
      </c>
      <c r="M465" s="11"/>
      <c r="N465" s="7"/>
      <c r="O465" s="7" t="s">
        <v>55</v>
      </c>
      <c r="P465" s="7"/>
      <c r="Q465" s="16" t="s">
        <v>57</v>
      </c>
      <c r="R465" s="16" t="s">
        <v>55</v>
      </c>
      <c r="S465" s="16" t="s">
        <v>55</v>
      </c>
      <c r="T465" s="16" t="s">
        <v>55</v>
      </c>
      <c r="U465" s="16" t="s">
        <v>57</v>
      </c>
      <c r="V465" s="16" t="s">
        <v>1440</v>
      </c>
      <c r="W465" s="16"/>
      <c r="X465" s="6"/>
      <c r="Y465" s="6"/>
      <c r="Z465" s="6"/>
    </row>
    <row r="466" ht="15.0" customHeight="1">
      <c r="A466" s="7" t="s">
        <v>2350</v>
      </c>
      <c r="B466" s="7" t="s">
        <v>2351</v>
      </c>
      <c r="C466" s="7" t="s">
        <v>2352</v>
      </c>
      <c r="D466" s="7" t="s">
        <v>163</v>
      </c>
      <c r="E466" s="7" t="s">
        <v>194</v>
      </c>
      <c r="F466" s="7" t="s">
        <v>109</v>
      </c>
      <c r="G466" s="11" t="s">
        <v>55</v>
      </c>
      <c r="H466" s="11" t="s">
        <v>55</v>
      </c>
      <c r="I466" s="11" t="s">
        <v>55</v>
      </c>
      <c r="J466" s="11" t="s">
        <v>1899</v>
      </c>
      <c r="K466" s="11" t="s">
        <v>2353</v>
      </c>
      <c r="L466" s="14" t="str">
        <f t="shared" si="1"/>
        <v>Não</v>
      </c>
      <c r="M466" s="11"/>
      <c r="N466" s="7"/>
      <c r="O466" s="7" t="s">
        <v>55</v>
      </c>
      <c r="P466" s="7"/>
      <c r="Q466" s="16" t="s">
        <v>55</v>
      </c>
      <c r="R466" s="16" t="s">
        <v>55</v>
      </c>
      <c r="S466" s="16" t="s">
        <v>55</v>
      </c>
      <c r="T466" s="16" t="s">
        <v>55</v>
      </c>
      <c r="U466" s="16" t="s">
        <v>55</v>
      </c>
      <c r="V466" s="16" t="s">
        <v>1577</v>
      </c>
      <c r="W466" s="16" t="s">
        <v>2354</v>
      </c>
      <c r="X466" s="6"/>
      <c r="Y466" s="6"/>
      <c r="Z466" s="6"/>
    </row>
    <row r="467" ht="15.0" customHeight="1">
      <c r="A467" s="7" t="s">
        <v>2355</v>
      </c>
      <c r="B467" s="7" t="s">
        <v>2356</v>
      </c>
      <c r="C467" s="7" t="s">
        <v>2357</v>
      </c>
      <c r="D467" s="7" t="s">
        <v>163</v>
      </c>
      <c r="E467" s="7" t="s">
        <v>306</v>
      </c>
      <c r="F467" s="7" t="s">
        <v>109</v>
      </c>
      <c r="G467" s="11" t="s">
        <v>57</v>
      </c>
      <c r="H467" s="11" t="s">
        <v>55</v>
      </c>
      <c r="I467" s="11" t="s">
        <v>55</v>
      </c>
      <c r="J467" s="7" t="s">
        <v>55</v>
      </c>
      <c r="K467" s="7"/>
      <c r="L467" s="14" t="str">
        <f t="shared" si="1"/>
        <v>Não</v>
      </c>
      <c r="M467" s="11"/>
      <c r="N467" s="7"/>
      <c r="O467" s="7" t="s">
        <v>55</v>
      </c>
      <c r="P467" s="7"/>
      <c r="Q467" s="16" t="s">
        <v>57</v>
      </c>
      <c r="R467" s="16" t="s">
        <v>55</v>
      </c>
      <c r="S467" s="16" t="s">
        <v>55</v>
      </c>
      <c r="T467" s="16" t="s">
        <v>55</v>
      </c>
      <c r="U467" s="16" t="s">
        <v>57</v>
      </c>
      <c r="V467" s="16" t="s">
        <v>225</v>
      </c>
      <c r="W467" s="16"/>
      <c r="X467" s="6"/>
      <c r="Y467" s="6"/>
      <c r="Z467" s="6"/>
    </row>
    <row r="468" ht="15.0" customHeight="1">
      <c r="A468" s="7" t="s">
        <v>2359</v>
      </c>
      <c r="B468" s="7" t="s">
        <v>2360</v>
      </c>
      <c r="C468" s="7" t="s">
        <v>2362</v>
      </c>
      <c r="D468" s="7" t="s">
        <v>163</v>
      </c>
      <c r="E468" s="7" t="s">
        <v>80</v>
      </c>
      <c r="F468" s="7" t="s">
        <v>109</v>
      </c>
      <c r="G468" s="11" t="s">
        <v>57</v>
      </c>
      <c r="H468" s="11" t="s">
        <v>55</v>
      </c>
      <c r="I468" s="11" t="s">
        <v>55</v>
      </c>
      <c r="J468" s="7" t="s">
        <v>55</v>
      </c>
      <c r="K468" s="7"/>
      <c r="L468" s="14" t="str">
        <f t="shared" si="1"/>
        <v>Não</v>
      </c>
      <c r="M468" s="11"/>
      <c r="N468" s="7"/>
      <c r="O468" s="7" t="s">
        <v>55</v>
      </c>
      <c r="P468" s="7"/>
      <c r="Q468" s="16" t="s">
        <v>57</v>
      </c>
      <c r="R468" s="16" t="s">
        <v>55</v>
      </c>
      <c r="S468" s="16" t="s">
        <v>55</v>
      </c>
      <c r="T468" s="16" t="s">
        <v>55</v>
      </c>
      <c r="U468" s="16" t="s">
        <v>57</v>
      </c>
      <c r="V468" s="16" t="s">
        <v>1440</v>
      </c>
      <c r="W468" s="16"/>
      <c r="X468" s="6"/>
      <c r="Y468" s="6"/>
      <c r="Z468" s="6"/>
    </row>
    <row r="469" ht="15.0" customHeight="1">
      <c r="A469" s="7" t="s">
        <v>2364</v>
      </c>
      <c r="B469" s="7" t="s">
        <v>2365</v>
      </c>
      <c r="C469" s="7" t="s">
        <v>2366</v>
      </c>
      <c r="D469" s="7" t="s">
        <v>163</v>
      </c>
      <c r="E469" s="7" t="s">
        <v>138</v>
      </c>
      <c r="F469" s="7" t="s">
        <v>109</v>
      </c>
      <c r="G469" s="11" t="s">
        <v>55</v>
      </c>
      <c r="H469" s="11" t="s">
        <v>55</v>
      </c>
      <c r="I469" s="11" t="s">
        <v>55</v>
      </c>
      <c r="J469" s="7" t="s">
        <v>55</v>
      </c>
      <c r="K469" s="11" t="s">
        <v>2367</v>
      </c>
      <c r="L469" s="14" t="str">
        <f t="shared" si="1"/>
        <v>Não</v>
      </c>
      <c r="M469" s="11"/>
      <c r="N469" s="7"/>
      <c r="O469" s="7" t="s">
        <v>55</v>
      </c>
      <c r="P469" s="7"/>
      <c r="Q469" s="16" t="s">
        <v>55</v>
      </c>
      <c r="R469" s="16" t="s">
        <v>55</v>
      </c>
      <c r="S469" s="16" t="s">
        <v>55</v>
      </c>
      <c r="T469" s="16" t="s">
        <v>55</v>
      </c>
      <c r="U469" s="16" t="s">
        <v>55</v>
      </c>
      <c r="V469" s="16" t="s">
        <v>184</v>
      </c>
      <c r="W469" s="16" t="s">
        <v>2368</v>
      </c>
      <c r="X469" s="6"/>
      <c r="Y469" s="6"/>
      <c r="Z469" s="6"/>
    </row>
    <row r="470" ht="15.0" customHeight="1">
      <c r="A470" s="7" t="s">
        <v>2369</v>
      </c>
      <c r="B470" s="7" t="s">
        <v>2370</v>
      </c>
      <c r="C470" s="7" t="s">
        <v>2371</v>
      </c>
      <c r="D470" s="7" t="s">
        <v>163</v>
      </c>
      <c r="E470" s="7" t="s">
        <v>286</v>
      </c>
      <c r="F470" s="7" t="s">
        <v>109</v>
      </c>
      <c r="G470" s="11" t="s">
        <v>57</v>
      </c>
      <c r="H470" s="11" t="s">
        <v>55</v>
      </c>
      <c r="I470" s="11" t="s">
        <v>55</v>
      </c>
      <c r="J470" s="7" t="s">
        <v>55</v>
      </c>
      <c r="K470" s="7"/>
      <c r="L470" s="14" t="str">
        <f t="shared" si="1"/>
        <v>Não</v>
      </c>
      <c r="M470" s="11"/>
      <c r="N470" s="7"/>
      <c r="O470" s="7" t="s">
        <v>55</v>
      </c>
      <c r="P470" s="7"/>
      <c r="Q470" s="16" t="s">
        <v>57</v>
      </c>
      <c r="R470" s="16" t="s">
        <v>55</v>
      </c>
      <c r="S470" s="16" t="s">
        <v>55</v>
      </c>
      <c r="T470" s="16" t="s">
        <v>55</v>
      </c>
      <c r="U470" s="16" t="s">
        <v>57</v>
      </c>
      <c r="V470" s="16" t="s">
        <v>225</v>
      </c>
      <c r="W470" s="16"/>
      <c r="X470" s="6"/>
      <c r="Y470" s="6"/>
      <c r="Z470" s="6"/>
    </row>
    <row r="471" ht="15.0" customHeight="1">
      <c r="A471" s="7" t="s">
        <v>2373</v>
      </c>
      <c r="B471" s="7" t="s">
        <v>2374</v>
      </c>
      <c r="C471" s="7" t="s">
        <v>2375</v>
      </c>
      <c r="D471" s="7" t="s">
        <v>163</v>
      </c>
      <c r="E471" s="7" t="s">
        <v>85</v>
      </c>
      <c r="F471" s="7" t="s">
        <v>109</v>
      </c>
      <c r="G471" s="11" t="s">
        <v>57</v>
      </c>
      <c r="H471" s="11" t="s">
        <v>55</v>
      </c>
      <c r="I471" s="11" t="s">
        <v>55</v>
      </c>
      <c r="J471" s="7" t="s">
        <v>55</v>
      </c>
      <c r="K471" s="7"/>
      <c r="L471" s="14" t="str">
        <f t="shared" si="1"/>
        <v>Não</v>
      </c>
      <c r="M471" s="11"/>
      <c r="N471" s="7"/>
      <c r="O471" s="7" t="s">
        <v>55</v>
      </c>
      <c r="P471" s="7"/>
      <c r="Q471" s="16" t="s">
        <v>57</v>
      </c>
      <c r="R471" s="16" t="s">
        <v>55</v>
      </c>
      <c r="S471" s="16" t="s">
        <v>55</v>
      </c>
      <c r="T471" s="16" t="s">
        <v>55</v>
      </c>
      <c r="U471" s="16" t="s">
        <v>57</v>
      </c>
      <c r="V471" s="16" t="s">
        <v>225</v>
      </c>
      <c r="W471" s="16"/>
      <c r="X471" s="6"/>
      <c r="Y471" s="6"/>
      <c r="Z471" s="6"/>
    </row>
    <row r="472" ht="29.25" customHeight="1">
      <c r="A472" s="7" t="s">
        <v>2376</v>
      </c>
      <c r="B472" s="7" t="s">
        <v>2377</v>
      </c>
      <c r="C472" s="7" t="s">
        <v>2378</v>
      </c>
      <c r="D472" s="7" t="s">
        <v>163</v>
      </c>
      <c r="E472" s="7" t="s">
        <v>85</v>
      </c>
      <c r="F472" s="7" t="s">
        <v>109</v>
      </c>
      <c r="G472" s="11" t="s">
        <v>55</v>
      </c>
      <c r="H472" s="11" t="s">
        <v>55</v>
      </c>
      <c r="I472" s="11" t="s">
        <v>55</v>
      </c>
      <c r="J472" s="7" t="s">
        <v>55</v>
      </c>
      <c r="K472" s="11" t="s">
        <v>2380</v>
      </c>
      <c r="L472" s="14" t="str">
        <f t="shared" si="1"/>
        <v>Não</v>
      </c>
      <c r="M472" s="11"/>
      <c r="N472" s="7"/>
      <c r="O472" s="7" t="s">
        <v>55</v>
      </c>
      <c r="P472" s="7"/>
      <c r="Q472" s="16" t="s">
        <v>55</v>
      </c>
      <c r="R472" s="16" t="s">
        <v>55</v>
      </c>
      <c r="S472" s="16" t="s">
        <v>55</v>
      </c>
      <c r="T472" s="16" t="s">
        <v>55</v>
      </c>
      <c r="U472" s="16" t="s">
        <v>55</v>
      </c>
      <c r="V472" s="16" t="s">
        <v>184</v>
      </c>
      <c r="W472" s="16" t="s">
        <v>2381</v>
      </c>
      <c r="X472" s="6"/>
      <c r="Y472" s="6"/>
      <c r="Z472" s="6"/>
    </row>
    <row r="473" ht="15.0" customHeight="1">
      <c r="A473" s="7" t="s">
        <v>2382</v>
      </c>
      <c r="B473" s="7" t="s">
        <v>2383</v>
      </c>
      <c r="C473" s="7" t="s">
        <v>2384</v>
      </c>
      <c r="D473" s="7" t="s">
        <v>163</v>
      </c>
      <c r="E473" s="7" t="s">
        <v>286</v>
      </c>
      <c r="F473" s="7" t="s">
        <v>109</v>
      </c>
      <c r="G473" s="11" t="s">
        <v>57</v>
      </c>
      <c r="H473" s="11" t="s">
        <v>55</v>
      </c>
      <c r="I473" s="11" t="s">
        <v>55</v>
      </c>
      <c r="J473" s="7" t="s">
        <v>55</v>
      </c>
      <c r="K473" s="7"/>
      <c r="L473" s="14" t="str">
        <f t="shared" si="1"/>
        <v>Não</v>
      </c>
      <c r="M473" s="11"/>
      <c r="N473" s="7"/>
      <c r="O473" s="7" t="s">
        <v>55</v>
      </c>
      <c r="P473" s="7"/>
      <c r="Q473" s="16" t="s">
        <v>57</v>
      </c>
      <c r="R473" s="16" t="s">
        <v>55</v>
      </c>
      <c r="S473" s="16" t="s">
        <v>55</v>
      </c>
      <c r="T473" s="16" t="s">
        <v>55</v>
      </c>
      <c r="U473" s="16" t="s">
        <v>57</v>
      </c>
      <c r="V473" s="16" t="s">
        <v>225</v>
      </c>
      <c r="W473" s="16"/>
      <c r="X473" s="6"/>
      <c r="Y473" s="6"/>
      <c r="Z473" s="6"/>
    </row>
    <row r="474" ht="15.0" customHeight="1">
      <c r="A474" s="7" t="s">
        <v>2386</v>
      </c>
      <c r="B474" s="7" t="s">
        <v>2387</v>
      </c>
      <c r="C474" s="7" t="s">
        <v>2388</v>
      </c>
      <c r="D474" s="7" t="s">
        <v>163</v>
      </c>
      <c r="E474" s="7" t="s">
        <v>107</v>
      </c>
      <c r="F474" s="7" t="s">
        <v>109</v>
      </c>
      <c r="G474" s="11" t="s">
        <v>55</v>
      </c>
      <c r="H474" s="11" t="s">
        <v>55</v>
      </c>
      <c r="I474" s="11" t="s">
        <v>55</v>
      </c>
      <c r="J474" s="7" t="s">
        <v>55</v>
      </c>
      <c r="K474" s="7"/>
      <c r="L474" s="14" t="str">
        <f t="shared" si="1"/>
        <v>Sim</v>
      </c>
      <c r="M474" s="11"/>
      <c r="N474" s="7"/>
      <c r="O474" s="7" t="s">
        <v>55</v>
      </c>
      <c r="P474" s="7"/>
      <c r="Q474" s="16" t="s">
        <v>55</v>
      </c>
      <c r="R474" s="16" t="s">
        <v>55</v>
      </c>
      <c r="S474" s="16" t="s">
        <v>55</v>
      </c>
      <c r="T474" s="16" t="s">
        <v>55</v>
      </c>
      <c r="U474" s="16" t="s">
        <v>55</v>
      </c>
      <c r="V474" s="16" t="s">
        <v>184</v>
      </c>
      <c r="W474" s="16"/>
      <c r="X474" s="6"/>
      <c r="Y474" s="6"/>
      <c r="Z474" s="6"/>
    </row>
    <row r="475" ht="15.0" customHeight="1">
      <c r="A475" s="7" t="s">
        <v>2390</v>
      </c>
      <c r="B475" s="7" t="s">
        <v>2391</v>
      </c>
      <c r="C475" s="7" t="s">
        <v>2392</v>
      </c>
      <c r="D475" s="7" t="s">
        <v>163</v>
      </c>
      <c r="E475" s="7" t="s">
        <v>114</v>
      </c>
      <c r="F475" s="7" t="s">
        <v>109</v>
      </c>
      <c r="G475" s="11" t="s">
        <v>57</v>
      </c>
      <c r="H475" s="11" t="s">
        <v>55</v>
      </c>
      <c r="I475" s="11" t="s">
        <v>55</v>
      </c>
      <c r="J475" s="7" t="s">
        <v>55</v>
      </c>
      <c r="K475" s="7"/>
      <c r="L475" s="14" t="str">
        <f t="shared" si="1"/>
        <v>Não</v>
      </c>
      <c r="M475" s="11"/>
      <c r="N475" s="7"/>
      <c r="O475" s="7" t="s">
        <v>55</v>
      </c>
      <c r="P475" s="7"/>
      <c r="Q475" s="16" t="s">
        <v>57</v>
      </c>
      <c r="R475" s="16" t="s">
        <v>55</v>
      </c>
      <c r="S475" s="16" t="s">
        <v>55</v>
      </c>
      <c r="T475" s="16" t="s">
        <v>55</v>
      </c>
      <c r="U475" s="16" t="s">
        <v>57</v>
      </c>
      <c r="V475" s="16" t="s">
        <v>1440</v>
      </c>
      <c r="W475" s="16"/>
      <c r="X475" s="6"/>
      <c r="Y475" s="6"/>
      <c r="Z475" s="6"/>
    </row>
    <row r="476" ht="15.0" customHeight="1">
      <c r="A476" s="7" t="s">
        <v>2394</v>
      </c>
      <c r="B476" s="7" t="s">
        <v>2395</v>
      </c>
      <c r="C476" s="7" t="s">
        <v>2396</v>
      </c>
      <c r="D476" s="7" t="s">
        <v>163</v>
      </c>
      <c r="E476" s="7" t="s">
        <v>300</v>
      </c>
      <c r="F476" s="7" t="s">
        <v>109</v>
      </c>
      <c r="G476" s="11" t="s">
        <v>57</v>
      </c>
      <c r="H476" s="11" t="s">
        <v>55</v>
      </c>
      <c r="I476" s="11" t="s">
        <v>55</v>
      </c>
      <c r="J476" s="7" t="s">
        <v>55</v>
      </c>
      <c r="K476" s="7"/>
      <c r="L476" s="14" t="str">
        <f t="shared" si="1"/>
        <v>Não</v>
      </c>
      <c r="M476" s="11"/>
      <c r="N476" s="7"/>
      <c r="O476" s="7" t="s">
        <v>55</v>
      </c>
      <c r="P476" s="7"/>
      <c r="Q476" s="16" t="s">
        <v>57</v>
      </c>
      <c r="R476" s="16" t="s">
        <v>55</v>
      </c>
      <c r="S476" s="16" t="s">
        <v>55</v>
      </c>
      <c r="T476" s="16" t="s">
        <v>55</v>
      </c>
      <c r="U476" s="16" t="s">
        <v>57</v>
      </c>
      <c r="V476" s="16" t="s">
        <v>1440</v>
      </c>
      <c r="W476" s="16"/>
      <c r="X476" s="6"/>
      <c r="Y476" s="6"/>
      <c r="Z476" s="6"/>
    </row>
    <row r="477" ht="15.0" customHeight="1">
      <c r="A477" s="7" t="s">
        <v>2398</v>
      </c>
      <c r="B477" s="7" t="s">
        <v>2399</v>
      </c>
      <c r="C477" s="7" t="s">
        <v>2400</v>
      </c>
      <c r="D477" s="7" t="s">
        <v>163</v>
      </c>
      <c r="E477" s="7" t="s">
        <v>148</v>
      </c>
      <c r="F477" s="7" t="s">
        <v>109</v>
      </c>
      <c r="G477" s="11" t="s">
        <v>57</v>
      </c>
      <c r="H477" s="11" t="s">
        <v>55</v>
      </c>
      <c r="I477" s="11" t="s">
        <v>55</v>
      </c>
      <c r="J477" s="7" t="s">
        <v>55</v>
      </c>
      <c r="K477" s="7"/>
      <c r="L477" s="14" t="str">
        <f t="shared" si="1"/>
        <v>Não</v>
      </c>
      <c r="M477" s="11"/>
      <c r="N477" s="7"/>
      <c r="O477" s="7" t="s">
        <v>55</v>
      </c>
      <c r="P477" s="7"/>
      <c r="Q477" s="16" t="s">
        <v>57</v>
      </c>
      <c r="R477" s="16" t="s">
        <v>55</v>
      </c>
      <c r="S477" s="16" t="s">
        <v>55</v>
      </c>
      <c r="T477" s="16" t="s">
        <v>55</v>
      </c>
      <c r="U477" s="16" t="s">
        <v>57</v>
      </c>
      <c r="V477" s="16" t="s">
        <v>225</v>
      </c>
      <c r="W477" s="16"/>
      <c r="X477" s="6"/>
      <c r="Y477" s="6"/>
      <c r="Z477" s="6"/>
    </row>
    <row r="478" ht="15.0" customHeight="1">
      <c r="A478" s="7" t="s">
        <v>2401</v>
      </c>
      <c r="B478" s="7" t="s">
        <v>2402</v>
      </c>
      <c r="C478" s="7" t="s">
        <v>2403</v>
      </c>
      <c r="D478" s="7" t="s">
        <v>163</v>
      </c>
      <c r="E478" s="7" t="s">
        <v>48</v>
      </c>
      <c r="F478" s="7" t="s">
        <v>109</v>
      </c>
      <c r="G478" s="11" t="s">
        <v>57</v>
      </c>
      <c r="H478" s="11" t="s">
        <v>55</v>
      </c>
      <c r="I478" s="11" t="s">
        <v>55</v>
      </c>
      <c r="J478" s="7" t="s">
        <v>55</v>
      </c>
      <c r="K478" s="7"/>
      <c r="L478" s="14" t="str">
        <f t="shared" si="1"/>
        <v>Não</v>
      </c>
      <c r="M478" s="11"/>
      <c r="N478" s="7"/>
      <c r="O478" s="7" t="s">
        <v>55</v>
      </c>
      <c r="P478" s="7"/>
      <c r="Q478" s="16" t="s">
        <v>57</v>
      </c>
      <c r="R478" s="16" t="s">
        <v>55</v>
      </c>
      <c r="S478" s="16" t="s">
        <v>55</v>
      </c>
      <c r="T478" s="16" t="s">
        <v>55</v>
      </c>
      <c r="U478" s="16" t="s">
        <v>57</v>
      </c>
      <c r="V478" s="16" t="s">
        <v>1440</v>
      </c>
      <c r="W478" s="16"/>
      <c r="X478" s="6"/>
      <c r="Y478" s="6"/>
      <c r="Z478" s="6"/>
    </row>
    <row r="479" ht="15.0" customHeight="1">
      <c r="A479" s="7" t="s">
        <v>2404</v>
      </c>
      <c r="B479" s="7" t="s">
        <v>2405</v>
      </c>
      <c r="C479" s="7" t="s">
        <v>2406</v>
      </c>
      <c r="D479" s="7" t="s">
        <v>163</v>
      </c>
      <c r="E479" s="7" t="s">
        <v>138</v>
      </c>
      <c r="F479" s="7" t="s">
        <v>109</v>
      </c>
      <c r="G479" s="11" t="s">
        <v>55</v>
      </c>
      <c r="H479" s="11" t="s">
        <v>55</v>
      </c>
      <c r="I479" s="11" t="s">
        <v>1899</v>
      </c>
      <c r="J479" s="7" t="s">
        <v>55</v>
      </c>
      <c r="K479" s="7"/>
      <c r="L479" s="14" t="str">
        <f t="shared" si="1"/>
        <v>Sim</v>
      </c>
      <c r="M479" s="46" t="s">
        <v>87</v>
      </c>
      <c r="N479" s="7"/>
      <c r="O479" s="7" t="s">
        <v>55</v>
      </c>
      <c r="P479" s="7"/>
      <c r="Q479" s="16" t="s">
        <v>55</v>
      </c>
      <c r="R479" s="16" t="s">
        <v>55</v>
      </c>
      <c r="S479" s="16" t="s">
        <v>55</v>
      </c>
      <c r="T479" s="16" t="s">
        <v>55</v>
      </c>
      <c r="U479" s="16" t="s">
        <v>55</v>
      </c>
      <c r="V479" s="16" t="s">
        <v>184</v>
      </c>
      <c r="W479" s="16"/>
      <c r="X479" s="6"/>
      <c r="Y479" s="6"/>
      <c r="Z479" s="6"/>
    </row>
    <row r="480" ht="15.0" customHeight="1">
      <c r="A480" s="7" t="s">
        <v>2408</v>
      </c>
      <c r="B480" s="7" t="s">
        <v>2409</v>
      </c>
      <c r="C480" s="7" t="s">
        <v>2410</v>
      </c>
      <c r="D480" s="7" t="s">
        <v>163</v>
      </c>
      <c r="E480" s="7" t="s">
        <v>194</v>
      </c>
      <c r="F480" s="7" t="s">
        <v>109</v>
      </c>
      <c r="G480" s="11" t="s">
        <v>55</v>
      </c>
      <c r="H480" s="11" t="s">
        <v>55</v>
      </c>
      <c r="I480" s="11" t="s">
        <v>1899</v>
      </c>
      <c r="J480" s="7" t="s">
        <v>55</v>
      </c>
      <c r="K480" s="11" t="s">
        <v>2411</v>
      </c>
      <c r="L480" s="14" t="str">
        <f t="shared" si="1"/>
        <v>Não</v>
      </c>
      <c r="M480" s="11"/>
      <c r="N480" s="7"/>
      <c r="O480" s="7" t="s">
        <v>55</v>
      </c>
      <c r="P480" s="7"/>
      <c r="Q480" s="16" t="s">
        <v>55</v>
      </c>
      <c r="R480" s="16" t="s">
        <v>55</v>
      </c>
      <c r="S480" s="16" t="s">
        <v>55</v>
      </c>
      <c r="T480" s="16" t="s">
        <v>55</v>
      </c>
      <c r="U480" s="16" t="s">
        <v>55</v>
      </c>
      <c r="V480" s="16" t="s">
        <v>1577</v>
      </c>
      <c r="W480" s="16" t="s">
        <v>2412</v>
      </c>
      <c r="X480" s="6"/>
      <c r="Y480" s="6"/>
      <c r="Z480" s="6"/>
    </row>
    <row r="481" ht="15.0" customHeight="1">
      <c r="A481" s="7" t="s">
        <v>2413</v>
      </c>
      <c r="B481" s="7" t="s">
        <v>2414</v>
      </c>
      <c r="C481" s="7" t="s">
        <v>2415</v>
      </c>
      <c r="D481" s="7" t="s">
        <v>163</v>
      </c>
      <c r="E481" s="7" t="s">
        <v>286</v>
      </c>
      <c r="F481" s="7" t="s">
        <v>109</v>
      </c>
      <c r="G481" s="11" t="s">
        <v>57</v>
      </c>
      <c r="H481" s="11" t="s">
        <v>55</v>
      </c>
      <c r="I481" s="11" t="s">
        <v>55</v>
      </c>
      <c r="J481" s="7" t="s">
        <v>55</v>
      </c>
      <c r="K481" s="7"/>
      <c r="L481" s="14" t="str">
        <f t="shared" si="1"/>
        <v>Não</v>
      </c>
      <c r="M481" s="11"/>
      <c r="N481" s="7"/>
      <c r="O481" s="7" t="s">
        <v>55</v>
      </c>
      <c r="P481" s="7"/>
      <c r="Q481" s="16" t="s">
        <v>57</v>
      </c>
      <c r="R481" s="16" t="s">
        <v>55</v>
      </c>
      <c r="S481" s="16" t="s">
        <v>55</v>
      </c>
      <c r="T481" s="16" t="s">
        <v>55</v>
      </c>
      <c r="U481" s="16" t="s">
        <v>57</v>
      </c>
      <c r="V481" s="16" t="s">
        <v>1440</v>
      </c>
      <c r="W481" s="16"/>
      <c r="X481" s="6"/>
      <c r="Y481" s="6"/>
      <c r="Z481" s="6"/>
    </row>
    <row r="482" ht="15.0" customHeight="1">
      <c r="A482" s="7" t="s">
        <v>2416</v>
      </c>
      <c r="B482" s="7" t="s">
        <v>2417</v>
      </c>
      <c r="C482" s="7" t="s">
        <v>2418</v>
      </c>
      <c r="D482" s="7" t="s">
        <v>163</v>
      </c>
      <c r="E482" s="7" t="s">
        <v>148</v>
      </c>
      <c r="F482" s="7" t="s">
        <v>109</v>
      </c>
      <c r="G482" s="11" t="s">
        <v>57</v>
      </c>
      <c r="H482" s="11" t="s">
        <v>55</v>
      </c>
      <c r="I482" s="11" t="s">
        <v>55</v>
      </c>
      <c r="J482" s="7" t="s">
        <v>55</v>
      </c>
      <c r="K482" s="7"/>
      <c r="L482" s="14" t="str">
        <f t="shared" si="1"/>
        <v>Não</v>
      </c>
      <c r="M482" s="11"/>
      <c r="N482" s="7"/>
      <c r="O482" s="7" t="s">
        <v>55</v>
      </c>
      <c r="P482" s="7"/>
      <c r="Q482" s="16" t="s">
        <v>57</v>
      </c>
      <c r="R482" s="16" t="s">
        <v>55</v>
      </c>
      <c r="S482" s="16" t="s">
        <v>55</v>
      </c>
      <c r="T482" s="16" t="s">
        <v>55</v>
      </c>
      <c r="U482" s="16" t="s">
        <v>57</v>
      </c>
      <c r="V482" s="16" t="s">
        <v>1440</v>
      </c>
      <c r="W482" s="16"/>
      <c r="X482" s="6"/>
      <c r="Y482" s="6"/>
      <c r="Z482" s="6"/>
    </row>
    <row r="483" ht="15.0" customHeight="1">
      <c r="A483" s="7" t="s">
        <v>2419</v>
      </c>
      <c r="B483" s="7" t="s">
        <v>2420</v>
      </c>
      <c r="C483" s="7" t="s">
        <v>2421</v>
      </c>
      <c r="D483" s="7" t="s">
        <v>163</v>
      </c>
      <c r="E483" s="7" t="s">
        <v>291</v>
      </c>
      <c r="F483" s="7" t="s">
        <v>109</v>
      </c>
      <c r="G483" s="11" t="s">
        <v>55</v>
      </c>
      <c r="H483" s="11" t="s">
        <v>55</v>
      </c>
      <c r="I483" s="11" t="s">
        <v>55</v>
      </c>
      <c r="J483" s="7" t="s">
        <v>55</v>
      </c>
      <c r="K483" s="11" t="s">
        <v>2422</v>
      </c>
      <c r="L483" s="14" t="str">
        <f t="shared" si="1"/>
        <v>Não</v>
      </c>
      <c r="M483" s="11"/>
      <c r="N483" s="7"/>
      <c r="O483" s="7" t="s">
        <v>55</v>
      </c>
      <c r="P483" s="7"/>
      <c r="Q483" s="16" t="s">
        <v>55</v>
      </c>
      <c r="R483" s="16" t="s">
        <v>55</v>
      </c>
      <c r="S483" s="16" t="s">
        <v>55</v>
      </c>
      <c r="T483" s="16" t="s">
        <v>55</v>
      </c>
      <c r="U483" s="16" t="s">
        <v>55</v>
      </c>
      <c r="V483" s="16" t="s">
        <v>184</v>
      </c>
      <c r="W483" s="16" t="s">
        <v>2423</v>
      </c>
      <c r="X483" s="6"/>
      <c r="Y483" s="6"/>
      <c r="Z483" s="6"/>
    </row>
    <row r="484" ht="15.0" customHeight="1">
      <c r="A484" s="7" t="s">
        <v>2424</v>
      </c>
      <c r="B484" s="7" t="s">
        <v>2420</v>
      </c>
      <c r="C484" s="7" t="s">
        <v>2421</v>
      </c>
      <c r="D484" s="7" t="s">
        <v>163</v>
      </c>
      <c r="E484" s="7" t="s">
        <v>291</v>
      </c>
      <c r="F484" s="7" t="s">
        <v>109</v>
      </c>
      <c r="G484" s="11" t="s">
        <v>55</v>
      </c>
      <c r="H484" s="11" t="s">
        <v>55</v>
      </c>
      <c r="I484" s="11" t="s">
        <v>55</v>
      </c>
      <c r="J484" s="7" t="s">
        <v>55</v>
      </c>
      <c r="K484" s="11" t="s">
        <v>2425</v>
      </c>
      <c r="L484" s="14" t="str">
        <f t="shared" si="1"/>
        <v>Não</v>
      </c>
      <c r="M484" s="11"/>
      <c r="N484" s="7"/>
      <c r="O484" s="7" t="s">
        <v>55</v>
      </c>
      <c r="P484" s="7"/>
      <c r="Q484" s="16" t="s">
        <v>55</v>
      </c>
      <c r="R484" s="16" t="s">
        <v>55</v>
      </c>
      <c r="S484" s="16" t="s">
        <v>55</v>
      </c>
      <c r="T484" s="16" t="s">
        <v>55</v>
      </c>
      <c r="U484" s="16" t="s">
        <v>55</v>
      </c>
      <c r="V484" s="16" t="s">
        <v>184</v>
      </c>
      <c r="W484" s="16" t="s">
        <v>2426</v>
      </c>
      <c r="X484" s="6"/>
      <c r="Y484" s="6"/>
      <c r="Z484" s="6"/>
    </row>
    <row r="485" ht="15.0" customHeight="1">
      <c r="A485" s="7" t="s">
        <v>2427</v>
      </c>
      <c r="B485" s="7" t="s">
        <v>2428</v>
      </c>
      <c r="C485" s="7" t="s">
        <v>2429</v>
      </c>
      <c r="D485" s="7" t="s">
        <v>163</v>
      </c>
      <c r="E485" s="7" t="s">
        <v>114</v>
      </c>
      <c r="F485" s="7" t="s">
        <v>109</v>
      </c>
      <c r="G485" s="11" t="s">
        <v>57</v>
      </c>
      <c r="H485" s="11" t="s">
        <v>55</v>
      </c>
      <c r="I485" s="11" t="s">
        <v>55</v>
      </c>
      <c r="J485" s="7" t="s">
        <v>55</v>
      </c>
      <c r="K485" s="7"/>
      <c r="L485" s="14" t="str">
        <f t="shared" si="1"/>
        <v>Não</v>
      </c>
      <c r="M485" s="11"/>
      <c r="N485" s="7"/>
      <c r="O485" s="7" t="s">
        <v>55</v>
      </c>
      <c r="P485" s="7"/>
      <c r="Q485" s="16" t="s">
        <v>57</v>
      </c>
      <c r="R485" s="16" t="s">
        <v>55</v>
      </c>
      <c r="S485" s="16" t="s">
        <v>55</v>
      </c>
      <c r="T485" s="16" t="s">
        <v>55</v>
      </c>
      <c r="U485" s="16" t="s">
        <v>57</v>
      </c>
      <c r="V485" s="16" t="s">
        <v>1440</v>
      </c>
      <c r="W485" s="16"/>
      <c r="X485" s="6"/>
      <c r="Y485" s="6"/>
      <c r="Z485" s="6"/>
    </row>
    <row r="486" ht="15.0" customHeight="1">
      <c r="A486" s="7" t="s">
        <v>2430</v>
      </c>
      <c r="B486" s="7" t="s">
        <v>2431</v>
      </c>
      <c r="C486" s="7" t="s">
        <v>2432</v>
      </c>
      <c r="D486" s="7" t="s">
        <v>163</v>
      </c>
      <c r="E486" s="7" t="s">
        <v>306</v>
      </c>
      <c r="F486" s="7" t="s">
        <v>109</v>
      </c>
      <c r="G486" s="11" t="s">
        <v>57</v>
      </c>
      <c r="H486" s="11" t="s">
        <v>55</v>
      </c>
      <c r="I486" s="11" t="s">
        <v>55</v>
      </c>
      <c r="J486" s="7" t="s">
        <v>55</v>
      </c>
      <c r="K486" s="7"/>
      <c r="L486" s="14" t="str">
        <f t="shared" si="1"/>
        <v>Não</v>
      </c>
      <c r="M486" s="11"/>
      <c r="N486" s="7"/>
      <c r="O486" s="7" t="s">
        <v>55</v>
      </c>
      <c r="P486" s="7"/>
      <c r="Q486" s="16" t="s">
        <v>57</v>
      </c>
      <c r="R486" s="16" t="s">
        <v>55</v>
      </c>
      <c r="S486" s="16" t="s">
        <v>55</v>
      </c>
      <c r="T486" s="16" t="s">
        <v>55</v>
      </c>
      <c r="U486" s="16" t="s">
        <v>57</v>
      </c>
      <c r="V486" s="16" t="s">
        <v>1440</v>
      </c>
      <c r="W486" s="16"/>
      <c r="X486" s="6"/>
      <c r="Y486" s="6"/>
      <c r="Z486" s="6"/>
    </row>
    <row r="487" ht="15.0" customHeight="1">
      <c r="A487" s="7" t="s">
        <v>2433</v>
      </c>
      <c r="B487" s="7" t="s">
        <v>2434</v>
      </c>
      <c r="C487" s="7" t="s">
        <v>2435</v>
      </c>
      <c r="D487" s="7" t="s">
        <v>163</v>
      </c>
      <c r="E487" s="7" t="s">
        <v>328</v>
      </c>
      <c r="F487" s="7" t="s">
        <v>109</v>
      </c>
      <c r="G487" s="11" t="s">
        <v>55</v>
      </c>
      <c r="H487" s="11" t="s">
        <v>55</v>
      </c>
      <c r="I487" s="11" t="s">
        <v>55</v>
      </c>
      <c r="J487" s="7" t="s">
        <v>57</v>
      </c>
      <c r="K487" s="7"/>
      <c r="L487" s="14" t="str">
        <f t="shared" si="1"/>
        <v>Não</v>
      </c>
      <c r="M487" s="11"/>
      <c r="N487" s="7"/>
      <c r="O487" s="7" t="s">
        <v>55</v>
      </c>
      <c r="P487" s="7"/>
      <c r="Q487" s="16" t="s">
        <v>55</v>
      </c>
      <c r="R487" s="16" t="s">
        <v>55</v>
      </c>
      <c r="S487" s="16" t="s">
        <v>55</v>
      </c>
      <c r="T487" s="16" t="s">
        <v>57</v>
      </c>
      <c r="U487" s="16" t="s">
        <v>57</v>
      </c>
      <c r="V487" s="16" t="s">
        <v>1747</v>
      </c>
      <c r="W487" s="16"/>
      <c r="X487" s="6"/>
      <c r="Y487" s="6"/>
      <c r="Z487" s="6"/>
    </row>
    <row r="488" ht="15.0" customHeight="1">
      <c r="A488" s="7" t="s">
        <v>2436</v>
      </c>
      <c r="B488" s="7" t="s">
        <v>2437</v>
      </c>
      <c r="C488" s="7" t="s">
        <v>2438</v>
      </c>
      <c r="D488" s="7" t="s">
        <v>163</v>
      </c>
      <c r="E488" s="7" t="s">
        <v>306</v>
      </c>
      <c r="F488" s="7" t="s">
        <v>109</v>
      </c>
      <c r="G488" s="11" t="s">
        <v>57</v>
      </c>
      <c r="H488" s="11" t="s">
        <v>55</v>
      </c>
      <c r="I488" s="11" t="s">
        <v>55</v>
      </c>
      <c r="J488" s="7" t="s">
        <v>55</v>
      </c>
      <c r="K488" s="7"/>
      <c r="L488" s="14" t="str">
        <f t="shared" si="1"/>
        <v>Não</v>
      </c>
      <c r="M488" s="11"/>
      <c r="N488" s="7"/>
      <c r="O488" s="7" t="s">
        <v>55</v>
      </c>
      <c r="P488" s="7"/>
      <c r="Q488" s="16" t="s">
        <v>57</v>
      </c>
      <c r="R488" s="16" t="s">
        <v>55</v>
      </c>
      <c r="S488" s="16" t="s">
        <v>55</v>
      </c>
      <c r="T488" s="16" t="s">
        <v>55</v>
      </c>
      <c r="U488" s="16" t="s">
        <v>57</v>
      </c>
      <c r="V488" s="16" t="s">
        <v>225</v>
      </c>
      <c r="W488" s="16"/>
      <c r="X488" s="6"/>
      <c r="Y488" s="6"/>
      <c r="Z488" s="6"/>
    </row>
    <row r="489" ht="15.0" customHeight="1">
      <c r="A489" s="7" t="s">
        <v>2439</v>
      </c>
      <c r="B489" s="7" t="s">
        <v>2440</v>
      </c>
      <c r="C489" s="7" t="s">
        <v>2441</v>
      </c>
      <c r="D489" s="7" t="s">
        <v>163</v>
      </c>
      <c r="E489" s="7" t="s">
        <v>138</v>
      </c>
      <c r="F489" s="7" t="s">
        <v>109</v>
      </c>
      <c r="G489" s="11" t="s">
        <v>57</v>
      </c>
      <c r="H489" s="11" t="s">
        <v>55</v>
      </c>
      <c r="I489" s="11" t="s">
        <v>55</v>
      </c>
      <c r="J489" s="7" t="s">
        <v>55</v>
      </c>
      <c r="K489" s="7"/>
      <c r="L489" s="14" t="str">
        <f t="shared" si="1"/>
        <v>Não</v>
      </c>
      <c r="M489" s="11"/>
      <c r="N489" s="7"/>
      <c r="O489" s="7" t="s">
        <v>55</v>
      </c>
      <c r="P489" s="7"/>
      <c r="Q489" s="16" t="s">
        <v>57</v>
      </c>
      <c r="R489" s="16" t="s">
        <v>55</v>
      </c>
      <c r="S489" s="16" t="s">
        <v>55</v>
      </c>
      <c r="T489" s="16" t="s">
        <v>55</v>
      </c>
      <c r="U489" s="16" t="s">
        <v>57</v>
      </c>
      <c r="V489" s="16" t="s">
        <v>225</v>
      </c>
      <c r="W489" s="16"/>
      <c r="X489" s="6"/>
      <c r="Y489" s="6"/>
      <c r="Z489" s="6"/>
    </row>
    <row r="490" ht="15.0" customHeight="1">
      <c r="A490" s="7" t="s">
        <v>2442</v>
      </c>
      <c r="B490" s="7" t="s">
        <v>2443</v>
      </c>
      <c r="C490" s="7" t="s">
        <v>2444</v>
      </c>
      <c r="D490" s="7" t="s">
        <v>163</v>
      </c>
      <c r="E490" s="7" t="s">
        <v>107</v>
      </c>
      <c r="F490" s="7" t="s">
        <v>109</v>
      </c>
      <c r="G490" s="11" t="s">
        <v>57</v>
      </c>
      <c r="H490" s="11" t="s">
        <v>55</v>
      </c>
      <c r="I490" s="11" t="s">
        <v>55</v>
      </c>
      <c r="J490" s="7" t="s">
        <v>55</v>
      </c>
      <c r="K490" s="7"/>
      <c r="L490" s="14" t="str">
        <f t="shared" si="1"/>
        <v>Não</v>
      </c>
      <c r="M490" s="11"/>
      <c r="N490" s="7"/>
      <c r="O490" s="7" t="s">
        <v>55</v>
      </c>
      <c r="P490" s="7"/>
      <c r="Q490" s="16" t="s">
        <v>57</v>
      </c>
      <c r="R490" s="16" t="s">
        <v>55</v>
      </c>
      <c r="S490" s="16" t="s">
        <v>55</v>
      </c>
      <c r="T490" s="16" t="s">
        <v>55</v>
      </c>
      <c r="U490" s="16" t="s">
        <v>57</v>
      </c>
      <c r="V490" s="16" t="s">
        <v>225</v>
      </c>
      <c r="W490" s="16"/>
      <c r="X490" s="6"/>
      <c r="Y490" s="6"/>
      <c r="Z490" s="6"/>
    </row>
    <row r="491" ht="15.0" customHeight="1">
      <c r="A491" s="7" t="s">
        <v>2445</v>
      </c>
      <c r="B491" s="7" t="s">
        <v>2446</v>
      </c>
      <c r="C491" s="7" t="s">
        <v>2447</v>
      </c>
      <c r="D491" s="7" t="s">
        <v>163</v>
      </c>
      <c r="E491" s="7" t="s">
        <v>107</v>
      </c>
      <c r="F491" s="7" t="s">
        <v>109</v>
      </c>
      <c r="G491" s="11" t="s">
        <v>55</v>
      </c>
      <c r="H491" s="11" t="s">
        <v>55</v>
      </c>
      <c r="I491" s="11" t="s">
        <v>1899</v>
      </c>
      <c r="J491" s="7" t="s">
        <v>55</v>
      </c>
      <c r="K491" s="7"/>
      <c r="L491" s="14" t="str">
        <f t="shared" si="1"/>
        <v>Sim</v>
      </c>
      <c r="M491" s="11"/>
      <c r="N491" s="7"/>
      <c r="O491" s="7" t="s">
        <v>55</v>
      </c>
      <c r="P491" s="7"/>
      <c r="Q491" s="16" t="s">
        <v>55</v>
      </c>
      <c r="R491" s="16" t="s">
        <v>55</v>
      </c>
      <c r="S491" s="16" t="s">
        <v>55</v>
      </c>
      <c r="T491" s="16" t="s">
        <v>55</v>
      </c>
      <c r="U491" s="16" t="s">
        <v>55</v>
      </c>
      <c r="V491" s="16" t="s">
        <v>184</v>
      </c>
      <c r="W491" s="16"/>
      <c r="X491" s="6"/>
      <c r="Y491" s="6"/>
      <c r="Z491" s="6"/>
    </row>
    <row r="492" ht="15.0" customHeight="1">
      <c r="A492" s="7" t="s">
        <v>2448</v>
      </c>
      <c r="B492" s="7" t="s">
        <v>2449</v>
      </c>
      <c r="C492" s="7" t="s">
        <v>2450</v>
      </c>
      <c r="D492" s="7" t="s">
        <v>163</v>
      </c>
      <c r="E492" s="7" t="s">
        <v>259</v>
      </c>
      <c r="F492" s="7" t="s">
        <v>109</v>
      </c>
      <c r="G492" s="11" t="s">
        <v>55</v>
      </c>
      <c r="H492" s="11" t="s">
        <v>55</v>
      </c>
      <c r="I492" s="11" t="s">
        <v>55</v>
      </c>
      <c r="J492" s="7" t="s">
        <v>55</v>
      </c>
      <c r="K492" s="11" t="s">
        <v>2451</v>
      </c>
      <c r="L492" s="14" t="str">
        <f t="shared" si="1"/>
        <v>Não</v>
      </c>
      <c r="M492" s="11"/>
      <c r="N492" s="7"/>
      <c r="O492" s="7" t="s">
        <v>55</v>
      </c>
      <c r="P492" s="7"/>
      <c r="Q492" s="16" t="s">
        <v>55</v>
      </c>
      <c r="R492" s="16" t="s">
        <v>55</v>
      </c>
      <c r="S492" s="16" t="s">
        <v>55</v>
      </c>
      <c r="T492" s="16" t="s">
        <v>55</v>
      </c>
      <c r="U492" s="16" t="s">
        <v>55</v>
      </c>
      <c r="V492" s="16" t="s">
        <v>184</v>
      </c>
      <c r="W492" s="16" t="s">
        <v>2452</v>
      </c>
      <c r="X492" s="6"/>
      <c r="Y492" s="6"/>
      <c r="Z492" s="6"/>
    </row>
    <row r="493" ht="15.0" customHeight="1">
      <c r="A493" s="7" t="s">
        <v>2453</v>
      </c>
      <c r="B493" s="7" t="s">
        <v>2454</v>
      </c>
      <c r="C493" s="7" t="s">
        <v>2455</v>
      </c>
      <c r="D493" s="7" t="s">
        <v>163</v>
      </c>
      <c r="E493" s="7" t="s">
        <v>220</v>
      </c>
      <c r="F493" s="7" t="s">
        <v>109</v>
      </c>
      <c r="G493" s="11" t="s">
        <v>55</v>
      </c>
      <c r="H493" s="11" t="s">
        <v>55</v>
      </c>
      <c r="I493" s="11" t="s">
        <v>55</v>
      </c>
      <c r="J493" s="7" t="s">
        <v>55</v>
      </c>
      <c r="K493" s="11" t="s">
        <v>2086</v>
      </c>
      <c r="L493" s="14" t="str">
        <f t="shared" si="1"/>
        <v>Não</v>
      </c>
      <c r="M493" s="11"/>
      <c r="N493" s="7"/>
      <c r="O493" s="7" t="s">
        <v>55</v>
      </c>
      <c r="P493" s="7"/>
      <c r="Q493" s="16" t="s">
        <v>55</v>
      </c>
      <c r="R493" s="16" t="s">
        <v>55</v>
      </c>
      <c r="S493" s="16" t="s">
        <v>55</v>
      </c>
      <c r="T493" s="16" t="s">
        <v>55</v>
      </c>
      <c r="U493" s="16" t="s">
        <v>55</v>
      </c>
      <c r="V493" s="16" t="s">
        <v>184</v>
      </c>
      <c r="W493" s="16" t="s">
        <v>2456</v>
      </c>
      <c r="X493" s="6"/>
      <c r="Y493" s="6"/>
      <c r="Z493" s="6"/>
    </row>
    <row r="494" ht="15.0" customHeight="1">
      <c r="A494" s="7" t="s">
        <v>2457</v>
      </c>
      <c r="B494" s="7" t="s">
        <v>2458</v>
      </c>
      <c r="C494" s="7" t="s">
        <v>2459</v>
      </c>
      <c r="D494" s="7" t="s">
        <v>163</v>
      </c>
      <c r="E494" s="7" t="s">
        <v>136</v>
      </c>
      <c r="F494" s="7" t="s">
        <v>109</v>
      </c>
      <c r="G494" s="11" t="s">
        <v>57</v>
      </c>
      <c r="H494" s="11" t="s">
        <v>55</v>
      </c>
      <c r="I494" s="11" t="s">
        <v>55</v>
      </c>
      <c r="J494" s="7" t="s">
        <v>55</v>
      </c>
      <c r="K494" s="7"/>
      <c r="L494" s="14" t="str">
        <f t="shared" si="1"/>
        <v>Não</v>
      </c>
      <c r="M494" s="11"/>
      <c r="N494" s="7"/>
      <c r="O494" s="7" t="s">
        <v>55</v>
      </c>
      <c r="P494" s="7"/>
      <c r="Q494" s="16" t="s">
        <v>57</v>
      </c>
      <c r="R494" s="16" t="s">
        <v>55</v>
      </c>
      <c r="S494" s="16" t="s">
        <v>55</v>
      </c>
      <c r="T494" s="16" t="s">
        <v>55</v>
      </c>
      <c r="U494" s="16" t="s">
        <v>57</v>
      </c>
      <c r="V494" s="16" t="s">
        <v>1440</v>
      </c>
      <c r="W494" s="16"/>
      <c r="X494" s="6"/>
      <c r="Y494" s="6"/>
      <c r="Z494" s="6"/>
    </row>
    <row r="495" ht="15.0" customHeight="1">
      <c r="A495" s="7" t="s">
        <v>2461</v>
      </c>
      <c r="B495" s="7" t="s">
        <v>2462</v>
      </c>
      <c r="C495" s="7" t="s">
        <v>2463</v>
      </c>
      <c r="D495" s="7" t="s">
        <v>163</v>
      </c>
      <c r="E495" s="7" t="s">
        <v>114</v>
      </c>
      <c r="F495" s="7" t="s">
        <v>109</v>
      </c>
      <c r="G495" s="11" t="s">
        <v>55</v>
      </c>
      <c r="H495" s="11" t="s">
        <v>1899</v>
      </c>
      <c r="I495" s="11" t="s">
        <v>57</v>
      </c>
      <c r="J495" s="7" t="s">
        <v>55</v>
      </c>
      <c r="K495" s="7"/>
      <c r="L495" s="14" t="str">
        <f t="shared" si="1"/>
        <v>Não</v>
      </c>
      <c r="M495" s="11"/>
      <c r="N495" s="7"/>
      <c r="O495" s="7" t="s">
        <v>55</v>
      </c>
      <c r="P495" s="7"/>
      <c r="Q495" s="16" t="s">
        <v>57</v>
      </c>
      <c r="R495" s="16" t="s">
        <v>55</v>
      </c>
      <c r="S495" s="16" t="s">
        <v>55</v>
      </c>
      <c r="T495" s="16" t="s">
        <v>55</v>
      </c>
      <c r="U495" s="16" t="s">
        <v>57</v>
      </c>
      <c r="V495" s="16" t="s">
        <v>1440</v>
      </c>
      <c r="W495" s="16"/>
      <c r="X495" s="6"/>
      <c r="Y495" s="6"/>
      <c r="Z495" s="6"/>
    </row>
    <row r="496" ht="15.0" customHeight="1">
      <c r="A496" s="31" t="s">
        <v>2465</v>
      </c>
      <c r="B496" s="31" t="s">
        <v>2466</v>
      </c>
      <c r="C496" s="31"/>
      <c r="D496" s="31" t="s">
        <v>163</v>
      </c>
      <c r="E496" s="31" t="s">
        <v>80</v>
      </c>
      <c r="F496" s="31" t="s">
        <v>109</v>
      </c>
      <c r="G496" s="32" t="s">
        <v>55</v>
      </c>
      <c r="H496" s="32" t="s">
        <v>55</v>
      </c>
      <c r="I496" s="32" t="s">
        <v>57</v>
      </c>
      <c r="J496" s="31" t="s">
        <v>55</v>
      </c>
      <c r="K496" s="7"/>
      <c r="L496" s="31" t="str">
        <f t="shared" si="1"/>
        <v>Não</v>
      </c>
      <c r="M496" s="32"/>
      <c r="N496" s="31"/>
      <c r="O496" s="31" t="s">
        <v>55</v>
      </c>
      <c r="P496" s="31" t="s">
        <v>1252</v>
      </c>
      <c r="Q496" s="31" t="s">
        <v>55</v>
      </c>
      <c r="R496" s="31" t="s">
        <v>55</v>
      </c>
      <c r="S496" s="31" t="s">
        <v>57</v>
      </c>
      <c r="T496" s="31" t="s">
        <v>55</v>
      </c>
      <c r="U496" s="31" t="s">
        <v>57</v>
      </c>
      <c r="V496" s="31" t="s">
        <v>1253</v>
      </c>
      <c r="W496" s="31"/>
      <c r="X496" s="33"/>
      <c r="Y496" s="33"/>
      <c r="Z496" s="33"/>
    </row>
    <row r="497" ht="15.0" customHeight="1">
      <c r="A497" s="7" t="s">
        <v>2468</v>
      </c>
      <c r="B497" s="7" t="s">
        <v>2469</v>
      </c>
      <c r="C497" s="7" t="s">
        <v>2471</v>
      </c>
      <c r="D497" s="7" t="s">
        <v>163</v>
      </c>
      <c r="E497" s="7" t="s">
        <v>138</v>
      </c>
      <c r="F497" s="7" t="s">
        <v>109</v>
      </c>
      <c r="G497" s="11" t="s">
        <v>57</v>
      </c>
      <c r="H497" s="11" t="s">
        <v>55</v>
      </c>
      <c r="I497" s="11" t="s">
        <v>55</v>
      </c>
      <c r="J497" s="7" t="s">
        <v>55</v>
      </c>
      <c r="K497" s="7"/>
      <c r="L497" s="14" t="str">
        <f t="shared" si="1"/>
        <v>Não</v>
      </c>
      <c r="M497" s="11"/>
      <c r="N497" s="7"/>
      <c r="O497" s="7" t="s">
        <v>55</v>
      </c>
      <c r="P497" s="7"/>
      <c r="Q497" s="16" t="s">
        <v>57</v>
      </c>
      <c r="R497" s="16" t="s">
        <v>55</v>
      </c>
      <c r="S497" s="16" t="s">
        <v>55</v>
      </c>
      <c r="T497" s="16" t="s">
        <v>55</v>
      </c>
      <c r="U497" s="16" t="s">
        <v>57</v>
      </c>
      <c r="V497" s="16" t="s">
        <v>225</v>
      </c>
      <c r="W497" s="16"/>
      <c r="X497" s="6"/>
      <c r="Y497" s="6"/>
      <c r="Z497" s="6"/>
    </row>
    <row r="498" ht="15.0" customHeight="1">
      <c r="A498" s="31" t="s">
        <v>2472</v>
      </c>
      <c r="B498" s="31" t="s">
        <v>2473</v>
      </c>
      <c r="C498" s="31"/>
      <c r="D498" s="31" t="s">
        <v>163</v>
      </c>
      <c r="E498" s="31" t="s">
        <v>138</v>
      </c>
      <c r="F498" s="31" t="s">
        <v>109</v>
      </c>
      <c r="G498" s="32" t="s">
        <v>1899</v>
      </c>
      <c r="H498" s="32" t="s">
        <v>55</v>
      </c>
      <c r="I498" s="32" t="s">
        <v>57</v>
      </c>
      <c r="J498" s="31" t="s">
        <v>55</v>
      </c>
      <c r="K498" s="7"/>
      <c r="L498" s="31" t="str">
        <f t="shared" si="1"/>
        <v>Não</v>
      </c>
      <c r="M498" s="32"/>
      <c r="N498" s="31"/>
      <c r="O498" s="31" t="s">
        <v>55</v>
      </c>
      <c r="P498" s="31" t="s">
        <v>1252</v>
      </c>
      <c r="Q498" s="31" t="s">
        <v>55</v>
      </c>
      <c r="R498" s="31" t="s">
        <v>55</v>
      </c>
      <c r="S498" s="31" t="s">
        <v>57</v>
      </c>
      <c r="T498" s="31" t="s">
        <v>55</v>
      </c>
      <c r="U498" s="31" t="s">
        <v>57</v>
      </c>
      <c r="V498" s="31" t="s">
        <v>1253</v>
      </c>
      <c r="W498" s="31"/>
      <c r="X498" s="33"/>
      <c r="Y498" s="33"/>
      <c r="Z498" s="33"/>
    </row>
    <row r="499" ht="15.0" customHeight="1">
      <c r="A499" s="7" t="s">
        <v>2474</v>
      </c>
      <c r="B499" s="7" t="s">
        <v>2475</v>
      </c>
      <c r="C499" s="7" t="s">
        <v>2476</v>
      </c>
      <c r="D499" s="7" t="s">
        <v>163</v>
      </c>
      <c r="E499" s="7" t="s">
        <v>300</v>
      </c>
      <c r="F499" s="7" t="s">
        <v>109</v>
      </c>
      <c r="G499" s="11" t="s">
        <v>57</v>
      </c>
      <c r="H499" s="11" t="s">
        <v>55</v>
      </c>
      <c r="I499" s="7"/>
      <c r="J499" s="7" t="s">
        <v>55</v>
      </c>
      <c r="K499" s="7"/>
      <c r="L499" s="14" t="str">
        <f t="shared" si="1"/>
        <v/>
      </c>
      <c r="M499" s="11"/>
      <c r="N499" s="7"/>
      <c r="O499" s="7" t="s">
        <v>55</v>
      </c>
      <c r="P499" s="7"/>
      <c r="Q499" s="16" t="s">
        <v>57</v>
      </c>
      <c r="R499" s="16" t="s">
        <v>55</v>
      </c>
      <c r="S499" s="16" t="s">
        <v>55</v>
      </c>
      <c r="T499" s="16" t="s">
        <v>55</v>
      </c>
      <c r="U499" s="16" t="s">
        <v>57</v>
      </c>
      <c r="V499" s="16" t="s">
        <v>1440</v>
      </c>
      <c r="W499" s="16"/>
      <c r="X499" s="6"/>
      <c r="Y499" s="6"/>
      <c r="Z499" s="6"/>
    </row>
    <row r="500" ht="15.0" customHeight="1">
      <c r="A500" s="7" t="s">
        <v>2477</v>
      </c>
      <c r="B500" s="7" t="s">
        <v>2478</v>
      </c>
      <c r="C500" s="7" t="s">
        <v>2479</v>
      </c>
      <c r="D500" s="7" t="s">
        <v>163</v>
      </c>
      <c r="E500" s="7" t="s">
        <v>300</v>
      </c>
      <c r="F500" s="7" t="s">
        <v>109</v>
      </c>
      <c r="G500" s="11" t="s">
        <v>57</v>
      </c>
      <c r="H500" s="11" t="s">
        <v>55</v>
      </c>
      <c r="I500" s="11" t="s">
        <v>55</v>
      </c>
      <c r="J500" s="7" t="s">
        <v>55</v>
      </c>
      <c r="K500" s="7"/>
      <c r="L500" s="14" t="str">
        <f t="shared" si="1"/>
        <v>Não</v>
      </c>
      <c r="M500" s="11"/>
      <c r="N500" s="7"/>
      <c r="O500" s="7" t="s">
        <v>55</v>
      </c>
      <c r="P500" s="7"/>
      <c r="Q500" s="16" t="s">
        <v>57</v>
      </c>
      <c r="R500" s="16" t="s">
        <v>55</v>
      </c>
      <c r="S500" s="16" t="s">
        <v>55</v>
      </c>
      <c r="T500" s="16" t="s">
        <v>55</v>
      </c>
      <c r="U500" s="16" t="s">
        <v>57</v>
      </c>
      <c r="V500" s="16" t="s">
        <v>1440</v>
      </c>
      <c r="W500" s="16"/>
      <c r="X500" s="6"/>
      <c r="Y500" s="6"/>
      <c r="Z500" s="6"/>
    </row>
    <row r="501" ht="15.0" customHeight="1">
      <c r="A501" s="7" t="s">
        <v>2480</v>
      </c>
      <c r="B501" s="7" t="s">
        <v>2481</v>
      </c>
      <c r="C501" s="7" t="s">
        <v>2482</v>
      </c>
      <c r="D501" s="7" t="s">
        <v>163</v>
      </c>
      <c r="E501" s="7" t="s">
        <v>300</v>
      </c>
      <c r="F501" s="7" t="s">
        <v>109</v>
      </c>
      <c r="G501" s="11" t="s">
        <v>57</v>
      </c>
      <c r="H501" s="11" t="s">
        <v>55</v>
      </c>
      <c r="I501" s="11" t="s">
        <v>55</v>
      </c>
      <c r="J501" s="7" t="s">
        <v>55</v>
      </c>
      <c r="K501" s="7"/>
      <c r="L501" s="14" t="str">
        <f t="shared" si="1"/>
        <v>Não</v>
      </c>
      <c r="M501" s="11"/>
      <c r="N501" s="7"/>
      <c r="O501" s="7" t="s">
        <v>55</v>
      </c>
      <c r="P501" s="7"/>
      <c r="Q501" s="16" t="s">
        <v>57</v>
      </c>
      <c r="R501" s="16" t="s">
        <v>55</v>
      </c>
      <c r="S501" s="16" t="s">
        <v>55</v>
      </c>
      <c r="T501" s="16" t="s">
        <v>55</v>
      </c>
      <c r="U501" s="16" t="s">
        <v>57</v>
      </c>
      <c r="V501" s="16" t="s">
        <v>1440</v>
      </c>
      <c r="W501" s="16"/>
      <c r="X501" s="6"/>
      <c r="Y501" s="6"/>
      <c r="Z501" s="6"/>
    </row>
    <row r="502" ht="15.0" customHeight="1">
      <c r="A502" s="7" t="s">
        <v>2483</v>
      </c>
      <c r="B502" s="7" t="s">
        <v>2484</v>
      </c>
      <c r="C502" s="7" t="s">
        <v>2485</v>
      </c>
      <c r="D502" s="7" t="s">
        <v>163</v>
      </c>
      <c r="E502" s="7" t="s">
        <v>328</v>
      </c>
      <c r="F502" s="7" t="s">
        <v>109</v>
      </c>
      <c r="G502" s="11" t="s">
        <v>55</v>
      </c>
      <c r="H502" s="11" t="s">
        <v>55</v>
      </c>
      <c r="I502" s="11" t="s">
        <v>55</v>
      </c>
      <c r="J502" s="7" t="s">
        <v>57</v>
      </c>
      <c r="K502" s="7"/>
      <c r="L502" s="14" t="str">
        <f t="shared" si="1"/>
        <v>Não</v>
      </c>
      <c r="M502" s="11"/>
      <c r="N502" s="7"/>
      <c r="O502" s="7" t="s">
        <v>55</v>
      </c>
      <c r="P502" s="7"/>
      <c r="Q502" s="16" t="s">
        <v>55</v>
      </c>
      <c r="R502" s="16" t="s">
        <v>55</v>
      </c>
      <c r="S502" s="16" t="s">
        <v>55</v>
      </c>
      <c r="T502" s="16" t="s">
        <v>57</v>
      </c>
      <c r="U502" s="16" t="s">
        <v>57</v>
      </c>
      <c r="V502" s="16" t="s">
        <v>1747</v>
      </c>
      <c r="W502" s="16"/>
      <c r="X502" s="6"/>
      <c r="Y502" s="6"/>
      <c r="Z502" s="6"/>
    </row>
    <row r="503" ht="15.0" customHeight="1">
      <c r="A503" s="7" t="s">
        <v>2486</v>
      </c>
      <c r="B503" s="7" t="s">
        <v>2487</v>
      </c>
      <c r="C503" s="7" t="s">
        <v>2488</v>
      </c>
      <c r="D503" s="7" t="s">
        <v>132</v>
      </c>
      <c r="E503" s="7" t="s">
        <v>107</v>
      </c>
      <c r="F503" s="7" t="s">
        <v>109</v>
      </c>
      <c r="G503" s="11" t="s">
        <v>55</v>
      </c>
      <c r="H503" s="11" t="s">
        <v>57</v>
      </c>
      <c r="I503" s="11" t="s">
        <v>57</v>
      </c>
      <c r="J503" s="7" t="s">
        <v>55</v>
      </c>
      <c r="K503" s="7"/>
      <c r="L503" s="14" t="str">
        <f t="shared" si="1"/>
        <v>Não</v>
      </c>
      <c r="M503" s="11"/>
      <c r="N503" s="7"/>
      <c r="O503" s="7" t="s">
        <v>55</v>
      </c>
      <c r="P503" s="7"/>
      <c r="Q503" s="16" t="s">
        <v>55</v>
      </c>
      <c r="R503" s="16" t="s">
        <v>57</v>
      </c>
      <c r="S503" s="16" t="s">
        <v>57</v>
      </c>
      <c r="T503" s="16" t="s">
        <v>55</v>
      </c>
      <c r="U503" s="16" t="s">
        <v>57</v>
      </c>
      <c r="V503" s="16" t="s">
        <v>99</v>
      </c>
      <c r="W503" s="16"/>
      <c r="X503" s="6"/>
      <c r="Y503" s="6"/>
      <c r="Z503" s="6"/>
    </row>
    <row r="504" ht="15.0" customHeight="1">
      <c r="A504" s="7" t="s">
        <v>2489</v>
      </c>
      <c r="B504" s="7" t="s">
        <v>2490</v>
      </c>
      <c r="C504" s="7" t="s">
        <v>2491</v>
      </c>
      <c r="D504" s="7" t="s">
        <v>132</v>
      </c>
      <c r="E504" s="7" t="s">
        <v>213</v>
      </c>
      <c r="F504" s="7" t="s">
        <v>109</v>
      </c>
      <c r="G504" s="11" t="s">
        <v>57</v>
      </c>
      <c r="H504" s="11" t="s">
        <v>55</v>
      </c>
      <c r="I504" s="11" t="s">
        <v>55</v>
      </c>
      <c r="J504" s="7" t="s">
        <v>55</v>
      </c>
      <c r="K504" s="7"/>
      <c r="L504" s="14" t="str">
        <f t="shared" si="1"/>
        <v>Não</v>
      </c>
      <c r="M504" s="11"/>
      <c r="N504" s="7"/>
      <c r="O504" s="7" t="s">
        <v>55</v>
      </c>
      <c r="P504" s="7"/>
      <c r="Q504" s="16" t="s">
        <v>57</v>
      </c>
      <c r="R504" s="16" t="s">
        <v>55</v>
      </c>
      <c r="S504" s="16" t="s">
        <v>55</v>
      </c>
      <c r="T504" s="16" t="s">
        <v>55</v>
      </c>
      <c r="U504" s="16" t="s">
        <v>57</v>
      </c>
      <c r="V504" s="16" t="s">
        <v>225</v>
      </c>
      <c r="W504" s="16"/>
      <c r="X504" s="6"/>
      <c r="Y504" s="6"/>
      <c r="Z504" s="6"/>
    </row>
    <row r="505" ht="15.0" customHeight="1">
      <c r="A505" s="7" t="s">
        <v>2492</v>
      </c>
      <c r="B505" s="7" t="s">
        <v>2493</v>
      </c>
      <c r="C505" s="7" t="s">
        <v>2494</v>
      </c>
      <c r="D505" s="7" t="s">
        <v>132</v>
      </c>
      <c r="E505" s="7" t="s">
        <v>213</v>
      </c>
      <c r="F505" s="7" t="s">
        <v>109</v>
      </c>
      <c r="G505" s="11" t="s">
        <v>55</v>
      </c>
      <c r="H505" s="11" t="s">
        <v>55</v>
      </c>
      <c r="I505" s="11" t="s">
        <v>55</v>
      </c>
      <c r="J505" s="7" t="s">
        <v>55</v>
      </c>
      <c r="K505" s="11" t="s">
        <v>2495</v>
      </c>
      <c r="L505" s="14" t="str">
        <f t="shared" si="1"/>
        <v>Não</v>
      </c>
      <c r="M505" s="11"/>
      <c r="N505" s="7"/>
      <c r="O505" s="7" t="s">
        <v>55</v>
      </c>
      <c r="P505" s="7"/>
      <c r="Q505" s="16" t="s">
        <v>55</v>
      </c>
      <c r="R505" s="16" t="s">
        <v>55</v>
      </c>
      <c r="S505" s="16" t="s">
        <v>55</v>
      </c>
      <c r="T505" s="16" t="s">
        <v>55</v>
      </c>
      <c r="U505" s="16" t="s">
        <v>55</v>
      </c>
      <c r="V505" s="16" t="s">
        <v>127</v>
      </c>
      <c r="W505" s="16" t="s">
        <v>2496</v>
      </c>
      <c r="X505" s="6"/>
      <c r="Y505" s="6"/>
      <c r="Z505" s="6"/>
    </row>
    <row r="506" ht="15.0" customHeight="1">
      <c r="A506" s="7" t="s">
        <v>2497</v>
      </c>
      <c r="B506" s="7" t="s">
        <v>2498</v>
      </c>
      <c r="C506" s="7" t="s">
        <v>2499</v>
      </c>
      <c r="D506" s="7" t="s">
        <v>132</v>
      </c>
      <c r="E506" s="7" t="s">
        <v>332</v>
      </c>
      <c r="F506" s="7" t="s">
        <v>109</v>
      </c>
      <c r="G506" s="11" t="s">
        <v>55</v>
      </c>
      <c r="H506" s="11" t="s">
        <v>55</v>
      </c>
      <c r="I506" s="11" t="s">
        <v>1899</v>
      </c>
      <c r="J506" s="7" t="s">
        <v>57</v>
      </c>
      <c r="K506" s="7"/>
      <c r="L506" s="14" t="str">
        <f t="shared" si="1"/>
        <v>Não</v>
      </c>
      <c r="M506" s="11"/>
      <c r="N506" s="7"/>
      <c r="O506" s="7" t="s">
        <v>55</v>
      </c>
      <c r="P506" s="7"/>
      <c r="Q506" s="16" t="s">
        <v>55</v>
      </c>
      <c r="R506" s="16" t="s">
        <v>55</v>
      </c>
      <c r="S506" s="16" t="s">
        <v>55</v>
      </c>
      <c r="T506" s="16" t="s">
        <v>57</v>
      </c>
      <c r="U506" s="16" t="s">
        <v>57</v>
      </c>
      <c r="V506" s="16" t="s">
        <v>1747</v>
      </c>
      <c r="W506" s="16"/>
      <c r="X506" s="6"/>
      <c r="Y506" s="6"/>
      <c r="Z506" s="6"/>
    </row>
    <row r="507" ht="15.0" customHeight="1">
      <c r="A507" s="7" t="s">
        <v>2500</v>
      </c>
      <c r="B507" s="7" t="s">
        <v>2501</v>
      </c>
      <c r="C507" s="7" t="s">
        <v>2502</v>
      </c>
      <c r="D507" s="7" t="s">
        <v>132</v>
      </c>
      <c r="E507" s="7" t="s">
        <v>48</v>
      </c>
      <c r="F507" s="7" t="s">
        <v>109</v>
      </c>
      <c r="G507" s="11" t="s">
        <v>55</v>
      </c>
      <c r="H507" s="11" t="s">
        <v>55</v>
      </c>
      <c r="I507" s="11" t="s">
        <v>55</v>
      </c>
      <c r="J507" s="7" t="s">
        <v>55</v>
      </c>
      <c r="K507" s="7"/>
      <c r="L507" s="14" t="str">
        <f t="shared" si="1"/>
        <v>Sim</v>
      </c>
      <c r="M507" s="11"/>
      <c r="N507" s="7"/>
      <c r="O507" s="7" t="s">
        <v>55</v>
      </c>
      <c r="P507" s="7"/>
      <c r="Q507" s="16" t="s">
        <v>55</v>
      </c>
      <c r="R507" s="16" t="s">
        <v>55</v>
      </c>
      <c r="S507" s="16" t="s">
        <v>55</v>
      </c>
      <c r="T507" s="16" t="s">
        <v>55</v>
      </c>
      <c r="U507" s="16" t="s">
        <v>55</v>
      </c>
      <c r="V507" s="16" t="s">
        <v>127</v>
      </c>
      <c r="W507" s="16"/>
      <c r="X507" s="6"/>
      <c r="Y507" s="6"/>
      <c r="Z507" s="6"/>
    </row>
    <row r="508" ht="15.0" customHeight="1">
      <c r="A508" s="7" t="s">
        <v>2503</v>
      </c>
      <c r="B508" s="7" t="s">
        <v>2504</v>
      </c>
      <c r="C508" s="7" t="s">
        <v>2505</v>
      </c>
      <c r="D508" s="7" t="s">
        <v>132</v>
      </c>
      <c r="E508" s="7" t="s">
        <v>213</v>
      </c>
      <c r="F508" s="7" t="s">
        <v>109</v>
      </c>
      <c r="G508" s="11" t="s">
        <v>55</v>
      </c>
      <c r="H508" s="11" t="s">
        <v>55</v>
      </c>
      <c r="I508" s="11" t="s">
        <v>55</v>
      </c>
      <c r="J508" s="7" t="s">
        <v>55</v>
      </c>
      <c r="K508" s="7"/>
      <c r="L508" s="14" t="str">
        <f t="shared" si="1"/>
        <v>Sim</v>
      </c>
      <c r="M508" s="11"/>
      <c r="N508" s="7"/>
      <c r="O508" s="7" t="s">
        <v>55</v>
      </c>
      <c r="P508" s="7"/>
      <c r="Q508" s="16" t="s">
        <v>55</v>
      </c>
      <c r="R508" s="16" t="s">
        <v>55</v>
      </c>
      <c r="S508" s="16" t="s">
        <v>55</v>
      </c>
      <c r="T508" s="16" t="s">
        <v>55</v>
      </c>
      <c r="U508" s="16" t="s">
        <v>55</v>
      </c>
      <c r="V508" s="16" t="s">
        <v>127</v>
      </c>
      <c r="W508" s="16"/>
      <c r="X508" s="6"/>
      <c r="Y508" s="6"/>
      <c r="Z508" s="6"/>
    </row>
    <row r="509" ht="15.0" customHeight="1">
      <c r="A509" s="7" t="s">
        <v>2506</v>
      </c>
      <c r="B509" s="7" t="s">
        <v>2507</v>
      </c>
      <c r="C509" s="7" t="s">
        <v>2508</v>
      </c>
      <c r="D509" s="7" t="s">
        <v>132</v>
      </c>
      <c r="E509" s="7" t="s">
        <v>107</v>
      </c>
      <c r="F509" s="7" t="s">
        <v>109</v>
      </c>
      <c r="G509" s="11" t="s">
        <v>55</v>
      </c>
      <c r="H509" s="11" t="s">
        <v>55</v>
      </c>
      <c r="I509" s="11" t="s">
        <v>55</v>
      </c>
      <c r="J509" s="7" t="s">
        <v>55</v>
      </c>
      <c r="K509" s="7"/>
      <c r="L509" s="14" t="str">
        <f t="shared" si="1"/>
        <v>Sim</v>
      </c>
      <c r="M509" s="11"/>
      <c r="N509" s="7"/>
      <c r="O509" s="7" t="s">
        <v>55</v>
      </c>
      <c r="P509" s="7"/>
      <c r="Q509" s="16" t="s">
        <v>55</v>
      </c>
      <c r="R509" s="16" t="s">
        <v>55</v>
      </c>
      <c r="S509" s="16" t="s">
        <v>55</v>
      </c>
      <c r="T509" s="16" t="s">
        <v>55</v>
      </c>
      <c r="U509" s="16" t="s">
        <v>55</v>
      </c>
      <c r="V509" s="16" t="s">
        <v>127</v>
      </c>
      <c r="W509" s="16"/>
      <c r="X509" s="6"/>
      <c r="Y509" s="6"/>
      <c r="Z509" s="6"/>
    </row>
    <row r="510" ht="15.0" customHeight="1">
      <c r="A510" s="7" t="s">
        <v>2509</v>
      </c>
      <c r="B510" s="7" t="s">
        <v>2510</v>
      </c>
      <c r="C510" s="7" t="s">
        <v>2511</v>
      </c>
      <c r="D510" s="7" t="s">
        <v>132</v>
      </c>
      <c r="E510" s="7" t="s">
        <v>267</v>
      </c>
      <c r="F510" s="7" t="s">
        <v>109</v>
      </c>
      <c r="G510" s="11" t="s">
        <v>55</v>
      </c>
      <c r="H510" s="11" t="s">
        <v>55</v>
      </c>
      <c r="I510" s="11" t="s">
        <v>55</v>
      </c>
      <c r="J510" s="7" t="s">
        <v>55</v>
      </c>
      <c r="K510" s="7"/>
      <c r="L510" s="14" t="str">
        <f t="shared" si="1"/>
        <v>Sim</v>
      </c>
      <c r="M510" s="11"/>
      <c r="N510" s="7"/>
      <c r="O510" s="7" t="s">
        <v>55</v>
      </c>
      <c r="P510" s="7"/>
      <c r="Q510" s="16" t="s">
        <v>55</v>
      </c>
      <c r="R510" s="16" t="s">
        <v>55</v>
      </c>
      <c r="S510" s="16" t="s">
        <v>55</v>
      </c>
      <c r="T510" s="16" t="s">
        <v>55</v>
      </c>
      <c r="U510" s="16" t="s">
        <v>55</v>
      </c>
      <c r="V510" s="16" t="s">
        <v>127</v>
      </c>
      <c r="W510" s="16"/>
      <c r="X510" s="6"/>
      <c r="Y510" s="6"/>
      <c r="Z510" s="6"/>
    </row>
    <row r="511" ht="15.0" customHeight="1">
      <c r="A511" s="7" t="s">
        <v>982</v>
      </c>
      <c r="B511" s="7" t="s">
        <v>2512</v>
      </c>
      <c r="C511" s="7" t="s">
        <v>2513</v>
      </c>
      <c r="D511" s="7" t="s">
        <v>132</v>
      </c>
      <c r="E511" s="7" t="s">
        <v>138</v>
      </c>
      <c r="F511" s="7" t="s">
        <v>109</v>
      </c>
      <c r="G511" s="11" t="s">
        <v>55</v>
      </c>
      <c r="H511" s="11" t="s">
        <v>55</v>
      </c>
      <c r="I511" s="11" t="s">
        <v>55</v>
      </c>
      <c r="J511" s="7" t="s">
        <v>55</v>
      </c>
      <c r="K511" s="7"/>
      <c r="L511" s="14" t="str">
        <f t="shared" si="1"/>
        <v>Sim</v>
      </c>
      <c r="M511" s="46" t="s">
        <v>87</v>
      </c>
      <c r="N511" s="7"/>
      <c r="O511" s="7" t="s">
        <v>55</v>
      </c>
      <c r="P511" s="7"/>
      <c r="Q511" s="16" t="s">
        <v>55</v>
      </c>
      <c r="R511" s="16" t="s">
        <v>55</v>
      </c>
      <c r="S511" s="16" t="s">
        <v>55</v>
      </c>
      <c r="T511" s="16" t="s">
        <v>55</v>
      </c>
      <c r="U511" s="16" t="s">
        <v>55</v>
      </c>
      <c r="V511" s="16" t="s">
        <v>127</v>
      </c>
      <c r="W511" s="16"/>
      <c r="X511" s="6"/>
      <c r="Y511" s="6"/>
      <c r="Z511" s="6"/>
    </row>
    <row r="512" ht="15.0" customHeight="1">
      <c r="A512" s="7" t="s">
        <v>2514</v>
      </c>
      <c r="B512" s="7" t="s">
        <v>2515</v>
      </c>
      <c r="C512" s="7" t="s">
        <v>2516</v>
      </c>
      <c r="D512" s="7" t="s">
        <v>132</v>
      </c>
      <c r="E512" s="7" t="s">
        <v>138</v>
      </c>
      <c r="F512" s="7" t="s">
        <v>109</v>
      </c>
      <c r="G512" s="11" t="s">
        <v>57</v>
      </c>
      <c r="H512" s="11" t="s">
        <v>55</v>
      </c>
      <c r="I512" s="11" t="s">
        <v>1899</v>
      </c>
      <c r="J512" s="7" t="s">
        <v>55</v>
      </c>
      <c r="K512" s="7"/>
      <c r="L512" s="14" t="str">
        <f t="shared" si="1"/>
        <v>Não</v>
      </c>
      <c r="M512" s="11"/>
      <c r="N512" s="7"/>
      <c r="O512" s="7" t="s">
        <v>55</v>
      </c>
      <c r="P512" s="7"/>
      <c r="Q512" s="16" t="s">
        <v>57</v>
      </c>
      <c r="R512" s="16" t="s">
        <v>55</v>
      </c>
      <c r="S512" s="16" t="s">
        <v>55</v>
      </c>
      <c r="T512" s="16" t="s">
        <v>55</v>
      </c>
      <c r="U512" s="16" t="s">
        <v>57</v>
      </c>
      <c r="V512" s="16" t="s">
        <v>225</v>
      </c>
      <c r="W512" s="16"/>
      <c r="X512" s="6"/>
      <c r="Y512" s="6"/>
      <c r="Z512" s="6"/>
    </row>
    <row r="513" ht="15.0" customHeight="1">
      <c r="A513" s="7" t="s">
        <v>2517</v>
      </c>
      <c r="B513" s="7" t="s">
        <v>2518</v>
      </c>
      <c r="C513" s="7" t="s">
        <v>2519</v>
      </c>
      <c r="D513" s="7" t="s">
        <v>132</v>
      </c>
      <c r="E513" s="7" t="s">
        <v>306</v>
      </c>
      <c r="F513" s="7" t="s">
        <v>109</v>
      </c>
      <c r="G513" s="11" t="s">
        <v>57</v>
      </c>
      <c r="H513" s="11" t="s">
        <v>55</v>
      </c>
      <c r="I513" s="11" t="s">
        <v>55</v>
      </c>
      <c r="J513" s="7" t="s">
        <v>55</v>
      </c>
      <c r="K513" s="7"/>
      <c r="L513" s="14" t="str">
        <f t="shared" si="1"/>
        <v>Não</v>
      </c>
      <c r="M513" s="11"/>
      <c r="N513" s="7"/>
      <c r="O513" s="7" t="s">
        <v>55</v>
      </c>
      <c r="P513" s="7"/>
      <c r="Q513" s="16" t="s">
        <v>57</v>
      </c>
      <c r="R513" s="16" t="s">
        <v>55</v>
      </c>
      <c r="S513" s="16" t="s">
        <v>55</v>
      </c>
      <c r="T513" s="16" t="s">
        <v>55</v>
      </c>
      <c r="U513" s="16" t="s">
        <v>57</v>
      </c>
      <c r="V513" s="16" t="s">
        <v>225</v>
      </c>
      <c r="W513" s="16"/>
      <c r="X513" s="6"/>
      <c r="Y513" s="6"/>
      <c r="Z513" s="6"/>
    </row>
    <row r="514" ht="15.0" customHeight="1">
      <c r="A514" s="7" t="s">
        <v>2520</v>
      </c>
      <c r="B514" s="7" t="s">
        <v>2521</v>
      </c>
      <c r="C514" s="7" t="s">
        <v>2522</v>
      </c>
      <c r="D514" s="7" t="s">
        <v>132</v>
      </c>
      <c r="E514" s="7" t="s">
        <v>138</v>
      </c>
      <c r="F514" s="7" t="s">
        <v>109</v>
      </c>
      <c r="G514" s="11" t="s">
        <v>55</v>
      </c>
      <c r="H514" s="11" t="s">
        <v>1899</v>
      </c>
      <c r="I514" s="11" t="s">
        <v>55</v>
      </c>
      <c r="J514" s="7" t="s">
        <v>55</v>
      </c>
      <c r="K514" s="7"/>
      <c r="L514" s="14" t="str">
        <f t="shared" si="1"/>
        <v>Sim</v>
      </c>
      <c r="M514" s="11"/>
      <c r="N514" s="7"/>
      <c r="O514" s="7" t="s">
        <v>55</v>
      </c>
      <c r="P514" s="7"/>
      <c r="Q514" s="16" t="s">
        <v>55</v>
      </c>
      <c r="R514" s="16" t="s">
        <v>55</v>
      </c>
      <c r="S514" s="16" t="s">
        <v>55</v>
      </c>
      <c r="T514" s="16" t="s">
        <v>55</v>
      </c>
      <c r="U514" s="16" t="s">
        <v>55</v>
      </c>
      <c r="V514" s="16" t="s">
        <v>127</v>
      </c>
      <c r="W514" s="16"/>
      <c r="X514" s="6"/>
      <c r="Y514" s="6"/>
      <c r="Z514" s="6"/>
    </row>
    <row r="515" ht="15.0" customHeight="1">
      <c r="A515" s="7" t="s">
        <v>2523</v>
      </c>
      <c r="B515" s="7" t="s">
        <v>2524</v>
      </c>
      <c r="C515" s="7" t="s">
        <v>2525</v>
      </c>
      <c r="D515" s="7" t="s">
        <v>132</v>
      </c>
      <c r="E515" s="7" t="s">
        <v>138</v>
      </c>
      <c r="F515" s="7" t="s">
        <v>109</v>
      </c>
      <c r="G515" s="11" t="s">
        <v>55</v>
      </c>
      <c r="H515" s="11" t="s">
        <v>55</v>
      </c>
      <c r="I515" s="11" t="s">
        <v>55</v>
      </c>
      <c r="J515" s="7" t="s">
        <v>55</v>
      </c>
      <c r="K515" s="7"/>
      <c r="L515" s="14" t="str">
        <f t="shared" si="1"/>
        <v>Sim</v>
      </c>
      <c r="M515" s="11"/>
      <c r="N515" s="7"/>
      <c r="O515" s="7" t="s">
        <v>55</v>
      </c>
      <c r="P515" s="7"/>
      <c r="Q515" s="16" t="s">
        <v>55</v>
      </c>
      <c r="R515" s="16" t="s">
        <v>55</v>
      </c>
      <c r="S515" s="16" t="s">
        <v>55</v>
      </c>
      <c r="T515" s="16" t="s">
        <v>55</v>
      </c>
      <c r="U515" s="16" t="s">
        <v>55</v>
      </c>
      <c r="V515" s="16" t="s">
        <v>127</v>
      </c>
      <c r="W515" s="16"/>
      <c r="X515" s="6"/>
      <c r="Y515" s="6"/>
      <c r="Z515" s="6"/>
    </row>
    <row r="516" ht="15.0" customHeight="1">
      <c r="A516" s="7" t="s">
        <v>2526</v>
      </c>
      <c r="B516" s="7" t="s">
        <v>2527</v>
      </c>
      <c r="C516" s="7" t="s">
        <v>2528</v>
      </c>
      <c r="D516" s="7" t="s">
        <v>132</v>
      </c>
      <c r="E516" s="7" t="s">
        <v>213</v>
      </c>
      <c r="F516" s="7" t="s">
        <v>109</v>
      </c>
      <c r="G516" s="11" t="s">
        <v>55</v>
      </c>
      <c r="H516" s="11" t="s">
        <v>55</v>
      </c>
      <c r="I516" s="11" t="s">
        <v>55</v>
      </c>
      <c r="J516" s="7" t="s">
        <v>55</v>
      </c>
      <c r="K516" s="7"/>
      <c r="L516" s="14" t="str">
        <f t="shared" si="1"/>
        <v>Sim</v>
      </c>
      <c r="M516" s="11"/>
      <c r="N516" s="7"/>
      <c r="O516" s="7" t="s">
        <v>55</v>
      </c>
      <c r="P516" s="7"/>
      <c r="Q516" s="16" t="s">
        <v>55</v>
      </c>
      <c r="R516" s="16" t="s">
        <v>55</v>
      </c>
      <c r="S516" s="16" t="s">
        <v>55</v>
      </c>
      <c r="T516" s="16" t="s">
        <v>55</v>
      </c>
      <c r="U516" s="16" t="s">
        <v>55</v>
      </c>
      <c r="V516" s="16" t="s">
        <v>127</v>
      </c>
      <c r="W516" s="16"/>
      <c r="X516" s="6"/>
      <c r="Y516" s="6"/>
      <c r="Z516" s="6"/>
    </row>
    <row r="517" ht="15.0" customHeight="1">
      <c r="A517" s="7" t="s">
        <v>2529</v>
      </c>
      <c r="B517" s="7" t="s">
        <v>2530</v>
      </c>
      <c r="C517" s="7" t="s">
        <v>2531</v>
      </c>
      <c r="D517" s="7" t="s">
        <v>132</v>
      </c>
      <c r="E517" s="7" t="s">
        <v>213</v>
      </c>
      <c r="F517" s="7" t="s">
        <v>109</v>
      </c>
      <c r="G517" s="11" t="s">
        <v>57</v>
      </c>
      <c r="H517" s="11" t="s">
        <v>55</v>
      </c>
      <c r="I517" s="11" t="s">
        <v>55</v>
      </c>
      <c r="J517" s="11" t="s">
        <v>57</v>
      </c>
      <c r="K517" s="7"/>
      <c r="L517" s="14" t="str">
        <f t="shared" si="1"/>
        <v>Não</v>
      </c>
      <c r="M517" s="11"/>
      <c r="N517" s="7"/>
      <c r="O517" s="7" t="s">
        <v>55</v>
      </c>
      <c r="P517" s="7"/>
      <c r="Q517" s="16" t="s">
        <v>57</v>
      </c>
      <c r="R517" s="16" t="s">
        <v>55</v>
      </c>
      <c r="S517" s="16" t="s">
        <v>55</v>
      </c>
      <c r="T517" s="16" t="s">
        <v>55</v>
      </c>
      <c r="U517" s="16" t="s">
        <v>57</v>
      </c>
      <c r="V517" s="16" t="s">
        <v>225</v>
      </c>
      <c r="W517" s="16"/>
      <c r="X517" s="6"/>
      <c r="Y517" s="6"/>
      <c r="Z517" s="6"/>
    </row>
    <row r="518" ht="15.0" customHeight="1">
      <c r="A518" s="7" t="s">
        <v>2532</v>
      </c>
      <c r="B518" s="7" t="s">
        <v>2533</v>
      </c>
      <c r="C518" s="7" t="s">
        <v>2534</v>
      </c>
      <c r="D518" s="7" t="s">
        <v>132</v>
      </c>
      <c r="E518" s="7" t="s">
        <v>138</v>
      </c>
      <c r="F518" s="7" t="s">
        <v>109</v>
      </c>
      <c r="G518" s="11" t="s">
        <v>55</v>
      </c>
      <c r="H518" s="11" t="s">
        <v>55</v>
      </c>
      <c r="I518" s="11" t="s">
        <v>55</v>
      </c>
      <c r="J518" s="7" t="s">
        <v>55</v>
      </c>
      <c r="K518" s="7"/>
      <c r="L518" s="14" t="str">
        <f t="shared" si="1"/>
        <v>Sim</v>
      </c>
      <c r="M518" s="11"/>
      <c r="N518" s="7"/>
      <c r="O518" s="7" t="s">
        <v>55</v>
      </c>
      <c r="P518" s="7"/>
      <c r="Q518" s="16" t="s">
        <v>55</v>
      </c>
      <c r="R518" s="16" t="s">
        <v>55</v>
      </c>
      <c r="S518" s="16" t="s">
        <v>55</v>
      </c>
      <c r="T518" s="16" t="s">
        <v>55</v>
      </c>
      <c r="U518" s="16" t="s">
        <v>55</v>
      </c>
      <c r="V518" s="16" t="s">
        <v>127</v>
      </c>
      <c r="W518" s="16"/>
      <c r="X518" s="6"/>
      <c r="Y518" s="6"/>
      <c r="Z518" s="6"/>
    </row>
    <row r="519" ht="15.0" customHeight="1">
      <c r="A519" s="7" t="s">
        <v>2535</v>
      </c>
      <c r="B519" s="7" t="s">
        <v>2536</v>
      </c>
      <c r="C519" s="7" t="s">
        <v>2537</v>
      </c>
      <c r="D519" s="7" t="s">
        <v>132</v>
      </c>
      <c r="E519" s="7" t="s">
        <v>259</v>
      </c>
      <c r="F519" s="7" t="s">
        <v>109</v>
      </c>
      <c r="G519" s="11" t="s">
        <v>57</v>
      </c>
      <c r="H519" s="11" t="s">
        <v>55</v>
      </c>
      <c r="I519" s="11" t="s">
        <v>55</v>
      </c>
      <c r="J519" s="7" t="s">
        <v>55</v>
      </c>
      <c r="K519" s="7"/>
      <c r="L519" s="14" t="str">
        <f t="shared" si="1"/>
        <v>Não</v>
      </c>
      <c r="M519" s="11"/>
      <c r="N519" s="7"/>
      <c r="O519" s="7" t="s">
        <v>55</v>
      </c>
      <c r="P519" s="7"/>
      <c r="Q519" s="16" t="s">
        <v>57</v>
      </c>
      <c r="R519" s="16" t="s">
        <v>55</v>
      </c>
      <c r="S519" s="16" t="s">
        <v>55</v>
      </c>
      <c r="T519" s="16" t="s">
        <v>55</v>
      </c>
      <c r="U519" s="16" t="s">
        <v>57</v>
      </c>
      <c r="V519" s="16" t="s">
        <v>225</v>
      </c>
      <c r="W519" s="16"/>
      <c r="X519" s="6"/>
      <c r="Y519" s="6"/>
      <c r="Z519" s="6"/>
    </row>
    <row r="520" ht="15.0" customHeight="1">
      <c r="A520" s="7" t="s">
        <v>2538</v>
      </c>
      <c r="B520" s="7" t="s">
        <v>2539</v>
      </c>
      <c r="C520" s="7" t="s">
        <v>2540</v>
      </c>
      <c r="D520" s="7" t="s">
        <v>132</v>
      </c>
      <c r="E520" s="7" t="s">
        <v>213</v>
      </c>
      <c r="F520" s="7" t="s">
        <v>109</v>
      </c>
      <c r="G520" s="11" t="s">
        <v>57</v>
      </c>
      <c r="H520" s="11" t="s">
        <v>55</v>
      </c>
      <c r="I520" s="11" t="s">
        <v>55</v>
      </c>
      <c r="J520" s="7" t="s">
        <v>55</v>
      </c>
      <c r="K520" s="7"/>
      <c r="L520" s="14" t="str">
        <f t="shared" si="1"/>
        <v>Não</v>
      </c>
      <c r="M520" s="11"/>
      <c r="N520" s="7"/>
      <c r="O520" s="7" t="s">
        <v>55</v>
      </c>
      <c r="P520" s="7"/>
      <c r="Q520" s="16" t="s">
        <v>57</v>
      </c>
      <c r="R520" s="16" t="s">
        <v>55</v>
      </c>
      <c r="S520" s="16" t="s">
        <v>55</v>
      </c>
      <c r="T520" s="16" t="s">
        <v>55</v>
      </c>
      <c r="U520" s="16" t="s">
        <v>57</v>
      </c>
      <c r="V520" s="16" t="s">
        <v>225</v>
      </c>
      <c r="W520" s="16"/>
      <c r="X520" s="6"/>
      <c r="Y520" s="6"/>
      <c r="Z520" s="6"/>
    </row>
    <row r="521" ht="15.0" customHeight="1">
      <c r="A521" s="7" t="s">
        <v>2541</v>
      </c>
      <c r="B521" s="7" t="s">
        <v>2542</v>
      </c>
      <c r="C521" s="7" t="s">
        <v>2543</v>
      </c>
      <c r="D521" s="7" t="s">
        <v>132</v>
      </c>
      <c r="E521" s="7" t="s">
        <v>213</v>
      </c>
      <c r="F521" s="7" t="s">
        <v>109</v>
      </c>
      <c r="G521" s="11" t="s">
        <v>57</v>
      </c>
      <c r="H521" s="11" t="s">
        <v>55</v>
      </c>
      <c r="I521" s="11" t="s">
        <v>55</v>
      </c>
      <c r="J521" s="7" t="s">
        <v>55</v>
      </c>
      <c r="K521" s="7"/>
      <c r="L521" s="14" t="str">
        <f t="shared" si="1"/>
        <v>Não</v>
      </c>
      <c r="M521" s="11"/>
      <c r="N521" s="7"/>
      <c r="O521" s="7" t="s">
        <v>55</v>
      </c>
      <c r="P521" s="7"/>
      <c r="Q521" s="16" t="s">
        <v>57</v>
      </c>
      <c r="R521" s="16" t="s">
        <v>55</v>
      </c>
      <c r="S521" s="16" t="s">
        <v>55</v>
      </c>
      <c r="T521" s="16" t="s">
        <v>55</v>
      </c>
      <c r="U521" s="16" t="s">
        <v>57</v>
      </c>
      <c r="V521" s="16" t="s">
        <v>225</v>
      </c>
      <c r="W521" s="16"/>
      <c r="X521" s="6"/>
      <c r="Y521" s="6"/>
      <c r="Z521" s="6"/>
    </row>
    <row r="522" ht="15.0" customHeight="1">
      <c r="A522" s="7" t="s">
        <v>2544</v>
      </c>
      <c r="B522" s="7" t="s">
        <v>2545</v>
      </c>
      <c r="C522" s="7" t="s">
        <v>2546</v>
      </c>
      <c r="D522" s="7" t="s">
        <v>132</v>
      </c>
      <c r="E522" s="7" t="s">
        <v>138</v>
      </c>
      <c r="F522" s="7" t="s">
        <v>109</v>
      </c>
      <c r="G522" s="11" t="s">
        <v>55</v>
      </c>
      <c r="H522" s="11" t="s">
        <v>55</v>
      </c>
      <c r="I522" s="11" t="s">
        <v>1899</v>
      </c>
      <c r="J522" s="7" t="s">
        <v>55</v>
      </c>
      <c r="K522" s="7"/>
      <c r="L522" s="14" t="str">
        <f t="shared" si="1"/>
        <v>Sim</v>
      </c>
      <c r="M522" s="46" t="s">
        <v>87</v>
      </c>
      <c r="N522" s="7"/>
      <c r="O522" s="7" t="s">
        <v>55</v>
      </c>
      <c r="P522" s="7"/>
      <c r="Q522" s="16" t="s">
        <v>55</v>
      </c>
      <c r="R522" s="16" t="s">
        <v>55</v>
      </c>
      <c r="S522" s="16" t="s">
        <v>55</v>
      </c>
      <c r="T522" s="16" t="s">
        <v>55</v>
      </c>
      <c r="U522" s="16" t="s">
        <v>55</v>
      </c>
      <c r="V522" s="16" t="s">
        <v>127</v>
      </c>
      <c r="W522" s="16"/>
      <c r="X522" s="6"/>
      <c r="Y522" s="6"/>
      <c r="Z522" s="6"/>
    </row>
    <row r="523" ht="15.0" customHeight="1">
      <c r="A523" s="7" t="s">
        <v>2547</v>
      </c>
      <c r="B523" s="7" t="s">
        <v>2548</v>
      </c>
      <c r="C523" s="7" t="s">
        <v>2549</v>
      </c>
      <c r="D523" s="7" t="s">
        <v>132</v>
      </c>
      <c r="E523" s="7" t="s">
        <v>138</v>
      </c>
      <c r="F523" s="7" t="s">
        <v>109</v>
      </c>
      <c r="G523" s="11" t="s">
        <v>57</v>
      </c>
      <c r="H523" s="11" t="s">
        <v>55</v>
      </c>
      <c r="I523" s="11" t="s">
        <v>55</v>
      </c>
      <c r="J523" s="7" t="s">
        <v>55</v>
      </c>
      <c r="K523" s="7"/>
      <c r="L523" s="14" t="str">
        <f t="shared" si="1"/>
        <v>Não</v>
      </c>
      <c r="M523" s="11"/>
      <c r="N523" s="7"/>
      <c r="O523" s="7" t="s">
        <v>55</v>
      </c>
      <c r="P523" s="7"/>
      <c r="Q523" s="16" t="s">
        <v>57</v>
      </c>
      <c r="R523" s="16" t="s">
        <v>55</v>
      </c>
      <c r="S523" s="16" t="s">
        <v>55</v>
      </c>
      <c r="T523" s="16" t="s">
        <v>55</v>
      </c>
      <c r="U523" s="16" t="s">
        <v>57</v>
      </c>
      <c r="V523" s="16" t="s">
        <v>225</v>
      </c>
      <c r="W523" s="16"/>
      <c r="X523" s="6"/>
      <c r="Y523" s="6"/>
      <c r="Z523" s="6"/>
    </row>
    <row r="524" ht="15.0" customHeight="1">
      <c r="A524" s="7" t="s">
        <v>2550</v>
      </c>
      <c r="B524" s="7" t="s">
        <v>2551</v>
      </c>
      <c r="C524" s="7" t="s">
        <v>2552</v>
      </c>
      <c r="D524" s="7" t="s">
        <v>132</v>
      </c>
      <c r="E524" s="7" t="s">
        <v>138</v>
      </c>
      <c r="F524" s="7" t="s">
        <v>109</v>
      </c>
      <c r="G524" s="11" t="s">
        <v>57</v>
      </c>
      <c r="H524" s="11" t="s">
        <v>55</v>
      </c>
      <c r="I524" s="11" t="s">
        <v>55</v>
      </c>
      <c r="J524" s="7" t="s">
        <v>55</v>
      </c>
      <c r="K524" s="7"/>
      <c r="L524" s="14" t="str">
        <f t="shared" si="1"/>
        <v>Não</v>
      </c>
      <c r="M524" s="11"/>
      <c r="N524" s="7"/>
      <c r="O524" s="7" t="s">
        <v>55</v>
      </c>
      <c r="P524" s="7"/>
      <c r="Q524" s="16" t="s">
        <v>57</v>
      </c>
      <c r="R524" s="16" t="s">
        <v>55</v>
      </c>
      <c r="S524" s="16" t="s">
        <v>55</v>
      </c>
      <c r="T524" s="16" t="s">
        <v>55</v>
      </c>
      <c r="U524" s="16" t="s">
        <v>57</v>
      </c>
      <c r="V524" s="16" t="s">
        <v>225</v>
      </c>
      <c r="W524" s="16"/>
      <c r="X524" s="6"/>
      <c r="Y524" s="6"/>
      <c r="Z524" s="6"/>
    </row>
    <row r="525" ht="15.0" customHeight="1">
      <c r="A525" s="7" t="s">
        <v>2553</v>
      </c>
      <c r="B525" s="7" t="s">
        <v>2554</v>
      </c>
      <c r="C525" s="7" t="s">
        <v>2555</v>
      </c>
      <c r="D525" s="7" t="s">
        <v>132</v>
      </c>
      <c r="E525" s="7" t="s">
        <v>138</v>
      </c>
      <c r="F525" s="7" t="s">
        <v>109</v>
      </c>
      <c r="G525" s="11" t="s">
        <v>57</v>
      </c>
      <c r="H525" s="11" t="s">
        <v>55</v>
      </c>
      <c r="I525" s="11" t="s">
        <v>55</v>
      </c>
      <c r="J525" s="7" t="s">
        <v>55</v>
      </c>
      <c r="K525" s="7"/>
      <c r="L525" s="14" t="str">
        <f t="shared" si="1"/>
        <v>Não</v>
      </c>
      <c r="M525" s="11"/>
      <c r="N525" s="7"/>
      <c r="O525" s="7" t="s">
        <v>55</v>
      </c>
      <c r="P525" s="7"/>
      <c r="Q525" s="16" t="s">
        <v>57</v>
      </c>
      <c r="R525" s="16" t="s">
        <v>55</v>
      </c>
      <c r="S525" s="16" t="s">
        <v>55</v>
      </c>
      <c r="T525" s="16" t="s">
        <v>55</v>
      </c>
      <c r="U525" s="16" t="s">
        <v>57</v>
      </c>
      <c r="V525" s="16" t="s">
        <v>225</v>
      </c>
      <c r="W525" s="16"/>
      <c r="X525" s="6"/>
      <c r="Y525" s="6"/>
      <c r="Z525" s="6"/>
    </row>
    <row r="526" ht="15.0" customHeight="1">
      <c r="A526" s="7" t="s">
        <v>2556</v>
      </c>
      <c r="B526" s="7" t="s">
        <v>2557</v>
      </c>
      <c r="C526" s="7" t="s">
        <v>2558</v>
      </c>
      <c r="D526" s="7" t="s">
        <v>132</v>
      </c>
      <c r="E526" s="7" t="s">
        <v>85</v>
      </c>
      <c r="F526" s="7" t="s">
        <v>109</v>
      </c>
      <c r="G526" s="11" t="s">
        <v>55</v>
      </c>
      <c r="H526" s="11" t="s">
        <v>55</v>
      </c>
      <c r="I526" s="11" t="s">
        <v>55</v>
      </c>
      <c r="J526" s="7" t="s">
        <v>55</v>
      </c>
      <c r="K526" s="7"/>
      <c r="L526" s="14" t="str">
        <f t="shared" si="1"/>
        <v>Sim</v>
      </c>
      <c r="M526" s="11"/>
      <c r="N526" s="7"/>
      <c r="O526" s="7" t="s">
        <v>55</v>
      </c>
      <c r="P526" s="7"/>
      <c r="Q526" s="16" t="s">
        <v>57</v>
      </c>
      <c r="R526" s="16" t="s">
        <v>55</v>
      </c>
      <c r="S526" s="16" t="s">
        <v>55</v>
      </c>
      <c r="T526" s="16" t="s">
        <v>55</v>
      </c>
      <c r="U526" s="16" t="s">
        <v>57</v>
      </c>
      <c r="V526" s="16" t="s">
        <v>225</v>
      </c>
      <c r="W526" s="16"/>
      <c r="X526" s="6"/>
      <c r="Y526" s="6"/>
      <c r="Z526" s="6"/>
    </row>
    <row r="527" ht="15.0" customHeight="1">
      <c r="A527" s="7" t="s">
        <v>2559</v>
      </c>
      <c r="B527" s="7" t="s">
        <v>2560</v>
      </c>
      <c r="C527" s="7" t="s">
        <v>2561</v>
      </c>
      <c r="D527" s="7" t="s">
        <v>132</v>
      </c>
      <c r="E527" s="7" t="s">
        <v>138</v>
      </c>
      <c r="F527" s="7" t="s">
        <v>109</v>
      </c>
      <c r="G527" s="11" t="s">
        <v>55</v>
      </c>
      <c r="H527" s="11" t="s">
        <v>55</v>
      </c>
      <c r="I527" s="11" t="s">
        <v>55</v>
      </c>
      <c r="J527" s="7" t="s">
        <v>55</v>
      </c>
      <c r="K527" s="7"/>
      <c r="L527" s="14" t="str">
        <f t="shared" si="1"/>
        <v>Sim</v>
      </c>
      <c r="M527" s="11"/>
      <c r="N527" s="7"/>
      <c r="O527" s="7" t="s">
        <v>55</v>
      </c>
      <c r="P527" s="7"/>
      <c r="Q527" s="16" t="s">
        <v>55</v>
      </c>
      <c r="R527" s="16" t="s">
        <v>55</v>
      </c>
      <c r="S527" s="16" t="s">
        <v>55</v>
      </c>
      <c r="T527" s="16" t="s">
        <v>55</v>
      </c>
      <c r="U527" s="16" t="s">
        <v>55</v>
      </c>
      <c r="V527" s="16" t="s">
        <v>127</v>
      </c>
      <c r="W527" s="16"/>
      <c r="X527" s="6"/>
      <c r="Y527" s="6"/>
      <c r="Z527" s="6"/>
    </row>
    <row r="528" ht="15.0" customHeight="1">
      <c r="A528" s="7" t="s">
        <v>2562</v>
      </c>
      <c r="B528" s="7" t="s">
        <v>2563</v>
      </c>
      <c r="C528" s="7" t="s">
        <v>2564</v>
      </c>
      <c r="D528" s="7" t="s">
        <v>132</v>
      </c>
      <c r="E528" s="7" t="s">
        <v>85</v>
      </c>
      <c r="F528" s="7" t="s">
        <v>109</v>
      </c>
      <c r="G528" s="11" t="s">
        <v>55</v>
      </c>
      <c r="H528" s="11" t="s">
        <v>55</v>
      </c>
      <c r="I528" s="11" t="s">
        <v>55</v>
      </c>
      <c r="J528" s="7" t="s">
        <v>55</v>
      </c>
      <c r="K528" s="11" t="s">
        <v>2565</v>
      </c>
      <c r="L528" s="14" t="str">
        <f t="shared" si="1"/>
        <v>Não</v>
      </c>
      <c r="M528" s="11"/>
      <c r="N528" s="7"/>
      <c r="O528" s="7" t="s">
        <v>55</v>
      </c>
      <c r="P528" s="7"/>
      <c r="Q528" s="16" t="s">
        <v>55</v>
      </c>
      <c r="R528" s="16" t="s">
        <v>55</v>
      </c>
      <c r="S528" s="16" t="s">
        <v>55</v>
      </c>
      <c r="T528" s="16" t="s">
        <v>55</v>
      </c>
      <c r="U528" s="16" t="s">
        <v>55</v>
      </c>
      <c r="V528" s="16" t="s">
        <v>127</v>
      </c>
      <c r="W528" s="16" t="s">
        <v>2566</v>
      </c>
      <c r="X528" s="6"/>
      <c r="Y528" s="6"/>
      <c r="Z528" s="6"/>
    </row>
    <row r="529" ht="15.0" customHeight="1">
      <c r="A529" s="7" t="s">
        <v>2567</v>
      </c>
      <c r="B529" s="7" t="s">
        <v>2568</v>
      </c>
      <c r="C529" s="7" t="s">
        <v>2569</v>
      </c>
      <c r="D529" s="7" t="s">
        <v>132</v>
      </c>
      <c r="E529" s="7" t="s">
        <v>85</v>
      </c>
      <c r="F529" s="7" t="s">
        <v>109</v>
      </c>
      <c r="G529" s="11" t="s">
        <v>55</v>
      </c>
      <c r="H529" s="11" t="s">
        <v>55</v>
      </c>
      <c r="I529" s="11" t="s">
        <v>55</v>
      </c>
      <c r="J529" s="7" t="s">
        <v>55</v>
      </c>
      <c r="K529" s="7"/>
      <c r="L529" s="14" t="str">
        <f t="shared" si="1"/>
        <v>Sim</v>
      </c>
      <c r="M529" s="11"/>
      <c r="N529" s="7"/>
      <c r="O529" s="7" t="s">
        <v>55</v>
      </c>
      <c r="P529" s="7"/>
      <c r="Q529" s="16" t="s">
        <v>55</v>
      </c>
      <c r="R529" s="16" t="s">
        <v>55</v>
      </c>
      <c r="S529" s="16" t="s">
        <v>55</v>
      </c>
      <c r="T529" s="16" t="s">
        <v>55</v>
      </c>
      <c r="U529" s="16" t="s">
        <v>55</v>
      </c>
      <c r="V529" s="16" t="s">
        <v>127</v>
      </c>
      <c r="W529" s="16"/>
      <c r="X529" s="6"/>
      <c r="Y529" s="6"/>
      <c r="Z529" s="6"/>
    </row>
    <row r="530" ht="15.0" customHeight="1">
      <c r="A530" s="7" t="s">
        <v>2570</v>
      </c>
      <c r="B530" s="7" t="s">
        <v>2571</v>
      </c>
      <c r="C530" s="7" t="s">
        <v>2572</v>
      </c>
      <c r="D530" s="7" t="s">
        <v>132</v>
      </c>
      <c r="E530" s="7" t="s">
        <v>85</v>
      </c>
      <c r="F530" s="7" t="s">
        <v>109</v>
      </c>
      <c r="G530" s="11" t="s">
        <v>55</v>
      </c>
      <c r="H530" s="11" t="s">
        <v>55</v>
      </c>
      <c r="I530" s="11" t="s">
        <v>1899</v>
      </c>
      <c r="J530" s="7" t="s">
        <v>55</v>
      </c>
      <c r="K530" s="7"/>
      <c r="L530" s="14" t="str">
        <f t="shared" si="1"/>
        <v>Sim</v>
      </c>
      <c r="M530" s="11"/>
      <c r="N530" s="7"/>
      <c r="O530" s="7" t="s">
        <v>55</v>
      </c>
      <c r="P530" s="7"/>
      <c r="Q530" s="16" t="s">
        <v>55</v>
      </c>
      <c r="R530" s="16" t="s">
        <v>55</v>
      </c>
      <c r="S530" s="16" t="s">
        <v>55</v>
      </c>
      <c r="T530" s="16" t="s">
        <v>55</v>
      </c>
      <c r="U530" s="16" t="s">
        <v>55</v>
      </c>
      <c r="V530" s="16" t="s">
        <v>127</v>
      </c>
      <c r="W530" s="16"/>
      <c r="X530" s="6"/>
      <c r="Y530" s="6"/>
      <c r="Z530" s="6"/>
    </row>
    <row r="531" ht="15.0" customHeight="1">
      <c r="A531" s="7" t="s">
        <v>2573</v>
      </c>
      <c r="B531" s="7" t="s">
        <v>2574</v>
      </c>
      <c r="C531" s="7" t="s">
        <v>2575</v>
      </c>
      <c r="D531" s="7" t="s">
        <v>132</v>
      </c>
      <c r="E531" s="7" t="s">
        <v>85</v>
      </c>
      <c r="F531" s="7" t="s">
        <v>109</v>
      </c>
      <c r="G531" s="11" t="s">
        <v>55</v>
      </c>
      <c r="H531" s="11" t="s">
        <v>55</v>
      </c>
      <c r="I531" s="11" t="s">
        <v>55</v>
      </c>
      <c r="J531" s="7" t="s">
        <v>55</v>
      </c>
      <c r="K531" s="7"/>
      <c r="L531" s="14" t="str">
        <f t="shared" si="1"/>
        <v>Sim</v>
      </c>
      <c r="M531" s="11"/>
      <c r="N531" s="7"/>
      <c r="O531" s="7" t="s">
        <v>55</v>
      </c>
      <c r="P531" s="7"/>
      <c r="Q531" s="16" t="s">
        <v>55</v>
      </c>
      <c r="R531" s="16" t="s">
        <v>55</v>
      </c>
      <c r="S531" s="16" t="s">
        <v>55</v>
      </c>
      <c r="T531" s="16" t="s">
        <v>55</v>
      </c>
      <c r="U531" s="16" t="s">
        <v>55</v>
      </c>
      <c r="V531" s="16" t="s">
        <v>127</v>
      </c>
      <c r="W531" s="16"/>
      <c r="X531" s="6"/>
      <c r="Y531" s="6"/>
      <c r="Z531" s="6"/>
    </row>
    <row r="532" ht="15.0" customHeight="1">
      <c r="A532" s="7" t="s">
        <v>2576</v>
      </c>
      <c r="B532" s="7" t="s">
        <v>2577</v>
      </c>
      <c r="C532" s="7" t="s">
        <v>2578</v>
      </c>
      <c r="D532" s="7" t="s">
        <v>132</v>
      </c>
      <c r="E532" s="7" t="s">
        <v>85</v>
      </c>
      <c r="F532" s="7" t="s">
        <v>109</v>
      </c>
      <c r="G532" s="11" t="s">
        <v>55</v>
      </c>
      <c r="H532" s="11" t="s">
        <v>55</v>
      </c>
      <c r="I532" s="11" t="s">
        <v>55</v>
      </c>
      <c r="J532" s="7" t="s">
        <v>55</v>
      </c>
      <c r="K532" s="7"/>
      <c r="L532" s="14" t="str">
        <f t="shared" si="1"/>
        <v>Sim</v>
      </c>
      <c r="M532" s="11"/>
      <c r="N532" s="7"/>
      <c r="O532" s="7" t="s">
        <v>55</v>
      </c>
      <c r="P532" s="7"/>
      <c r="Q532" s="16" t="s">
        <v>55</v>
      </c>
      <c r="R532" s="16" t="s">
        <v>55</v>
      </c>
      <c r="S532" s="16" t="s">
        <v>55</v>
      </c>
      <c r="T532" s="16" t="s">
        <v>55</v>
      </c>
      <c r="U532" s="16" t="s">
        <v>55</v>
      </c>
      <c r="V532" s="16" t="s">
        <v>127</v>
      </c>
      <c r="W532" s="16"/>
      <c r="X532" s="6"/>
      <c r="Y532" s="6"/>
      <c r="Z532" s="6"/>
    </row>
    <row r="533" ht="15.0" customHeight="1">
      <c r="A533" s="7" t="s">
        <v>1108</v>
      </c>
      <c r="B533" s="7" t="s">
        <v>2579</v>
      </c>
      <c r="C533" s="7" t="s">
        <v>2580</v>
      </c>
      <c r="D533" s="7" t="s">
        <v>132</v>
      </c>
      <c r="E533" s="7" t="s">
        <v>85</v>
      </c>
      <c r="F533" s="7" t="s">
        <v>109</v>
      </c>
      <c r="G533" s="11" t="s">
        <v>55</v>
      </c>
      <c r="H533" s="11" t="s">
        <v>1899</v>
      </c>
      <c r="I533" s="11" t="s">
        <v>55</v>
      </c>
      <c r="J533" s="7" t="s">
        <v>55</v>
      </c>
      <c r="K533" s="7"/>
      <c r="L533" s="14" t="str">
        <f t="shared" si="1"/>
        <v>Sim</v>
      </c>
      <c r="M533" s="46" t="s">
        <v>87</v>
      </c>
      <c r="N533" s="7"/>
      <c r="O533" s="7" t="s">
        <v>55</v>
      </c>
      <c r="P533" s="7"/>
      <c r="Q533" s="16" t="s">
        <v>55</v>
      </c>
      <c r="R533" s="16" t="s">
        <v>55</v>
      </c>
      <c r="S533" s="16" t="s">
        <v>55</v>
      </c>
      <c r="T533" s="16" t="s">
        <v>55</v>
      </c>
      <c r="U533" s="16" t="s">
        <v>55</v>
      </c>
      <c r="V533" s="16" t="s">
        <v>127</v>
      </c>
      <c r="W533" s="16"/>
      <c r="X533" s="6"/>
      <c r="Y533" s="6"/>
      <c r="Z533" s="6"/>
    </row>
    <row r="534" ht="15.0" customHeight="1">
      <c r="A534" s="7" t="s">
        <v>2581</v>
      </c>
      <c r="B534" s="7" t="s">
        <v>2582</v>
      </c>
      <c r="C534" s="7" t="s">
        <v>2583</v>
      </c>
      <c r="D534" s="7" t="s">
        <v>132</v>
      </c>
      <c r="E534" s="7" t="s">
        <v>85</v>
      </c>
      <c r="F534" s="7" t="s">
        <v>109</v>
      </c>
      <c r="G534" s="11" t="s">
        <v>55</v>
      </c>
      <c r="H534" s="11" t="s">
        <v>1899</v>
      </c>
      <c r="I534" s="11" t="s">
        <v>55</v>
      </c>
      <c r="J534" s="7" t="s">
        <v>55</v>
      </c>
      <c r="K534" s="7"/>
      <c r="L534" s="14" t="str">
        <f t="shared" si="1"/>
        <v>Sim</v>
      </c>
      <c r="M534" s="11"/>
      <c r="N534" s="7"/>
      <c r="O534" s="7" t="s">
        <v>55</v>
      </c>
      <c r="P534" s="7"/>
      <c r="Q534" s="16" t="s">
        <v>55</v>
      </c>
      <c r="R534" s="16" t="s">
        <v>55</v>
      </c>
      <c r="S534" s="16" t="s">
        <v>55</v>
      </c>
      <c r="T534" s="16" t="s">
        <v>55</v>
      </c>
      <c r="U534" s="16" t="s">
        <v>55</v>
      </c>
      <c r="V534" s="16" t="s">
        <v>127</v>
      </c>
      <c r="W534" s="16"/>
      <c r="X534" s="6"/>
      <c r="Y534" s="6"/>
      <c r="Z534" s="6"/>
    </row>
    <row r="535" ht="15.0" customHeight="1">
      <c r="A535" s="7" t="s">
        <v>2584</v>
      </c>
      <c r="B535" s="7" t="s">
        <v>2585</v>
      </c>
      <c r="C535" s="7" t="s">
        <v>2586</v>
      </c>
      <c r="D535" s="7" t="s">
        <v>132</v>
      </c>
      <c r="E535" s="7" t="s">
        <v>85</v>
      </c>
      <c r="F535" s="7" t="s">
        <v>109</v>
      </c>
      <c r="G535" s="11" t="s">
        <v>55</v>
      </c>
      <c r="H535" s="11" t="s">
        <v>55</v>
      </c>
      <c r="I535" s="11" t="s">
        <v>1899</v>
      </c>
      <c r="J535" s="7" t="s">
        <v>55</v>
      </c>
      <c r="K535" s="7"/>
      <c r="L535" s="14" t="str">
        <f t="shared" si="1"/>
        <v>Sim</v>
      </c>
      <c r="M535" s="11"/>
      <c r="N535" s="7"/>
      <c r="O535" s="7" t="s">
        <v>55</v>
      </c>
      <c r="P535" s="7"/>
      <c r="Q535" s="16" t="s">
        <v>55</v>
      </c>
      <c r="R535" s="16" t="s">
        <v>55</v>
      </c>
      <c r="S535" s="16" t="s">
        <v>55</v>
      </c>
      <c r="T535" s="16" t="s">
        <v>55</v>
      </c>
      <c r="U535" s="16" t="s">
        <v>55</v>
      </c>
      <c r="V535" s="16" t="s">
        <v>127</v>
      </c>
      <c r="W535" s="16"/>
      <c r="X535" s="6"/>
      <c r="Y535" s="6"/>
      <c r="Z535" s="6"/>
    </row>
    <row r="536" ht="15.0" customHeight="1">
      <c r="A536" s="7" t="s">
        <v>2587</v>
      </c>
      <c r="B536" s="7" t="s">
        <v>2588</v>
      </c>
      <c r="C536" s="7" t="s">
        <v>2589</v>
      </c>
      <c r="D536" s="7" t="s">
        <v>132</v>
      </c>
      <c r="E536" s="7" t="s">
        <v>85</v>
      </c>
      <c r="F536" s="7" t="s">
        <v>109</v>
      </c>
      <c r="G536" s="11" t="s">
        <v>55</v>
      </c>
      <c r="H536" s="11" t="s">
        <v>55</v>
      </c>
      <c r="I536" s="11" t="s">
        <v>55</v>
      </c>
      <c r="J536" s="7" t="s">
        <v>55</v>
      </c>
      <c r="K536" s="7"/>
      <c r="L536" s="14" t="str">
        <f t="shared" si="1"/>
        <v>Sim</v>
      </c>
      <c r="M536" s="11"/>
      <c r="N536" s="7"/>
      <c r="O536" s="7" t="s">
        <v>55</v>
      </c>
      <c r="P536" s="7"/>
      <c r="Q536" s="16" t="s">
        <v>55</v>
      </c>
      <c r="R536" s="16" t="s">
        <v>55</v>
      </c>
      <c r="S536" s="16" t="s">
        <v>55</v>
      </c>
      <c r="T536" s="16" t="s">
        <v>55</v>
      </c>
      <c r="U536" s="16" t="s">
        <v>55</v>
      </c>
      <c r="V536" s="16" t="s">
        <v>127</v>
      </c>
      <c r="W536" s="16"/>
      <c r="X536" s="6"/>
      <c r="Y536" s="6"/>
      <c r="Z536" s="6"/>
    </row>
    <row r="537" ht="15.0" customHeight="1">
      <c r="A537" s="7" t="s">
        <v>2590</v>
      </c>
      <c r="B537" s="7" t="s">
        <v>2591</v>
      </c>
      <c r="C537" s="7" t="s">
        <v>2592</v>
      </c>
      <c r="D537" s="7" t="s">
        <v>132</v>
      </c>
      <c r="E537" s="7" t="s">
        <v>250</v>
      </c>
      <c r="F537" s="7" t="s">
        <v>109</v>
      </c>
      <c r="G537" s="11" t="s">
        <v>57</v>
      </c>
      <c r="H537" s="11" t="s">
        <v>55</v>
      </c>
      <c r="I537" s="11" t="s">
        <v>1899</v>
      </c>
      <c r="J537" s="7" t="s">
        <v>55</v>
      </c>
      <c r="K537" s="7"/>
      <c r="L537" s="14" t="str">
        <f t="shared" si="1"/>
        <v>Não</v>
      </c>
      <c r="M537" s="11"/>
      <c r="N537" s="7"/>
      <c r="O537" s="7" t="s">
        <v>55</v>
      </c>
      <c r="P537" s="7"/>
      <c r="Q537" s="16" t="s">
        <v>57</v>
      </c>
      <c r="R537" s="16" t="s">
        <v>55</v>
      </c>
      <c r="S537" s="16" t="s">
        <v>55</v>
      </c>
      <c r="T537" s="16" t="s">
        <v>55</v>
      </c>
      <c r="U537" s="16" t="s">
        <v>57</v>
      </c>
      <c r="V537" s="16" t="s">
        <v>225</v>
      </c>
      <c r="W537" s="16"/>
      <c r="X537" s="6"/>
      <c r="Y537" s="6"/>
      <c r="Z537" s="6"/>
    </row>
    <row r="538" ht="15.0" customHeight="1">
      <c r="A538" s="7" t="s">
        <v>1159</v>
      </c>
      <c r="B538" s="7" t="s">
        <v>2593</v>
      </c>
      <c r="C538" s="7" t="s">
        <v>2594</v>
      </c>
      <c r="D538" s="7" t="s">
        <v>132</v>
      </c>
      <c r="E538" s="7" t="s">
        <v>250</v>
      </c>
      <c r="F538" s="7" t="s">
        <v>109</v>
      </c>
      <c r="G538" s="11" t="s">
        <v>55</v>
      </c>
      <c r="H538" s="11" t="s">
        <v>55</v>
      </c>
      <c r="I538" s="11" t="s">
        <v>1899</v>
      </c>
      <c r="J538" s="7" t="s">
        <v>55</v>
      </c>
      <c r="K538" s="7"/>
      <c r="L538" s="14" t="str">
        <f t="shared" si="1"/>
        <v>Sim</v>
      </c>
      <c r="M538" s="46" t="s">
        <v>87</v>
      </c>
      <c r="N538" s="7"/>
      <c r="O538" s="7" t="s">
        <v>55</v>
      </c>
      <c r="P538" s="7"/>
      <c r="Q538" s="16" t="s">
        <v>55</v>
      </c>
      <c r="R538" s="16" t="s">
        <v>55</v>
      </c>
      <c r="S538" s="16" t="s">
        <v>55</v>
      </c>
      <c r="T538" s="16" t="s">
        <v>55</v>
      </c>
      <c r="U538" s="16" t="s">
        <v>55</v>
      </c>
      <c r="V538" s="16" t="s">
        <v>127</v>
      </c>
      <c r="W538" s="16"/>
      <c r="X538" s="6"/>
      <c r="Y538" s="6"/>
      <c r="Z538" s="6"/>
    </row>
    <row r="539" ht="15.0" customHeight="1">
      <c r="A539" s="7" t="s">
        <v>2595</v>
      </c>
      <c r="B539" s="7" t="s">
        <v>2596</v>
      </c>
      <c r="C539" s="7" t="s">
        <v>2597</v>
      </c>
      <c r="D539" s="7" t="s">
        <v>132</v>
      </c>
      <c r="E539" s="7" t="s">
        <v>243</v>
      </c>
      <c r="F539" s="7" t="s">
        <v>109</v>
      </c>
      <c r="G539" s="11" t="s">
        <v>55</v>
      </c>
      <c r="H539" s="11" t="s">
        <v>1899</v>
      </c>
      <c r="I539" s="11" t="s">
        <v>55</v>
      </c>
      <c r="J539" s="7" t="s">
        <v>55</v>
      </c>
      <c r="K539" s="7"/>
      <c r="L539" s="14" t="str">
        <f t="shared" si="1"/>
        <v>Sim</v>
      </c>
      <c r="M539" s="11"/>
      <c r="N539" s="7"/>
      <c r="O539" s="7" t="s">
        <v>55</v>
      </c>
      <c r="P539" s="7"/>
      <c r="Q539" s="16" t="s">
        <v>55</v>
      </c>
      <c r="R539" s="16" t="s">
        <v>55</v>
      </c>
      <c r="S539" s="16" t="s">
        <v>55</v>
      </c>
      <c r="T539" s="16" t="s">
        <v>55</v>
      </c>
      <c r="U539" s="16" t="s">
        <v>55</v>
      </c>
      <c r="V539" s="16" t="s">
        <v>184</v>
      </c>
      <c r="W539" s="16"/>
      <c r="X539" s="6"/>
      <c r="Y539" s="6"/>
      <c r="Z539" s="6"/>
    </row>
    <row r="540" ht="15.0" customHeight="1">
      <c r="A540" s="7" t="s">
        <v>2598</v>
      </c>
      <c r="B540" s="7" t="s">
        <v>2599</v>
      </c>
      <c r="C540" s="7" t="s">
        <v>2600</v>
      </c>
      <c r="D540" s="7" t="s">
        <v>132</v>
      </c>
      <c r="E540" s="7" t="s">
        <v>243</v>
      </c>
      <c r="F540" s="7" t="s">
        <v>109</v>
      </c>
      <c r="G540" s="11" t="s">
        <v>57</v>
      </c>
      <c r="H540" s="11" t="s">
        <v>55</v>
      </c>
      <c r="I540" s="11" t="s">
        <v>55</v>
      </c>
      <c r="J540" s="7" t="s">
        <v>55</v>
      </c>
      <c r="K540" s="7"/>
      <c r="L540" s="14" t="str">
        <f t="shared" si="1"/>
        <v>Não</v>
      </c>
      <c r="M540" s="11"/>
      <c r="N540" s="7"/>
      <c r="O540" s="7" t="s">
        <v>55</v>
      </c>
      <c r="P540" s="7"/>
      <c r="Q540" s="16" t="s">
        <v>57</v>
      </c>
      <c r="R540" s="16" t="s">
        <v>55</v>
      </c>
      <c r="S540" s="16" t="s">
        <v>55</v>
      </c>
      <c r="T540" s="16" t="s">
        <v>55</v>
      </c>
      <c r="U540" s="16" t="s">
        <v>57</v>
      </c>
      <c r="V540" s="16" t="s">
        <v>225</v>
      </c>
      <c r="W540" s="16"/>
      <c r="X540" s="6"/>
      <c r="Y540" s="6"/>
      <c r="Z540" s="6"/>
    </row>
    <row r="541" ht="15.0" customHeight="1">
      <c r="A541" s="7" t="s">
        <v>2601</v>
      </c>
      <c r="B541" s="7" t="s">
        <v>2602</v>
      </c>
      <c r="C541" s="7" t="s">
        <v>2603</v>
      </c>
      <c r="D541" s="7" t="s">
        <v>132</v>
      </c>
      <c r="E541" s="7" t="s">
        <v>300</v>
      </c>
      <c r="F541" s="7" t="s">
        <v>109</v>
      </c>
      <c r="G541" s="11" t="s">
        <v>57</v>
      </c>
      <c r="H541" s="11" t="s">
        <v>55</v>
      </c>
      <c r="I541" s="11" t="s">
        <v>1899</v>
      </c>
      <c r="J541" s="7" t="s">
        <v>55</v>
      </c>
      <c r="K541" s="7"/>
      <c r="L541" s="14" t="str">
        <f t="shared" si="1"/>
        <v>Não</v>
      </c>
      <c r="M541" s="11"/>
      <c r="N541" s="7"/>
      <c r="O541" s="7" t="s">
        <v>55</v>
      </c>
      <c r="P541" s="7"/>
      <c r="Q541" s="16" t="s">
        <v>57</v>
      </c>
      <c r="R541" s="16" t="s">
        <v>55</v>
      </c>
      <c r="S541" s="16" t="s">
        <v>55</v>
      </c>
      <c r="T541" s="16" t="s">
        <v>55</v>
      </c>
      <c r="U541" s="16" t="s">
        <v>57</v>
      </c>
      <c r="V541" s="16" t="s">
        <v>225</v>
      </c>
      <c r="W541" s="16"/>
      <c r="X541" s="6"/>
      <c r="Y541" s="6"/>
      <c r="Z541" s="6"/>
    </row>
    <row r="542" ht="15.0" customHeight="1">
      <c r="A542" s="7" t="s">
        <v>2604</v>
      </c>
      <c r="B542" s="7" t="s">
        <v>2605</v>
      </c>
      <c r="C542" s="7" t="s">
        <v>2606</v>
      </c>
      <c r="D542" s="7" t="s">
        <v>132</v>
      </c>
      <c r="E542" s="7" t="s">
        <v>213</v>
      </c>
      <c r="F542" s="7" t="s">
        <v>109</v>
      </c>
      <c r="G542" s="11" t="s">
        <v>55</v>
      </c>
      <c r="H542" s="11" t="s">
        <v>1899</v>
      </c>
      <c r="I542" s="11" t="s">
        <v>55</v>
      </c>
      <c r="J542" s="7" t="s">
        <v>55</v>
      </c>
      <c r="K542" s="7"/>
      <c r="L542" s="14" t="str">
        <f t="shared" si="1"/>
        <v>Sim</v>
      </c>
      <c r="M542" s="11"/>
      <c r="N542" s="7"/>
      <c r="O542" s="7" t="s">
        <v>55</v>
      </c>
      <c r="P542" s="7"/>
      <c r="Q542" s="16" t="s">
        <v>55</v>
      </c>
      <c r="R542" s="16" t="s">
        <v>55</v>
      </c>
      <c r="S542" s="16" t="s">
        <v>55</v>
      </c>
      <c r="T542" s="16" t="s">
        <v>55</v>
      </c>
      <c r="U542" s="16" t="s">
        <v>55</v>
      </c>
      <c r="V542" s="16" t="s">
        <v>127</v>
      </c>
      <c r="W542" s="16"/>
      <c r="X542" s="6"/>
      <c r="Y542" s="6"/>
      <c r="Z542" s="6"/>
    </row>
    <row r="543" ht="15.0" customHeight="1">
      <c r="A543" s="7" t="s">
        <v>1219</v>
      </c>
      <c r="B543" s="7" t="s">
        <v>1221</v>
      </c>
      <c r="C543" s="7" t="s">
        <v>2607</v>
      </c>
      <c r="D543" s="7" t="s">
        <v>132</v>
      </c>
      <c r="E543" s="7" t="s">
        <v>220</v>
      </c>
      <c r="F543" s="7" t="s">
        <v>109</v>
      </c>
      <c r="G543" s="11" t="s">
        <v>1899</v>
      </c>
      <c r="H543" s="11" t="s">
        <v>55</v>
      </c>
      <c r="I543" s="11" t="s">
        <v>1899</v>
      </c>
      <c r="J543" s="7" t="s">
        <v>55</v>
      </c>
      <c r="K543" s="7"/>
      <c r="L543" s="14" t="str">
        <f t="shared" si="1"/>
        <v>Sim</v>
      </c>
      <c r="M543" s="46" t="s">
        <v>87</v>
      </c>
      <c r="N543" s="7"/>
      <c r="O543" s="7" t="s">
        <v>55</v>
      </c>
      <c r="P543" s="7"/>
      <c r="Q543" s="16" t="s">
        <v>55</v>
      </c>
      <c r="R543" s="16" t="s">
        <v>55</v>
      </c>
      <c r="S543" s="16" t="s">
        <v>55</v>
      </c>
      <c r="T543" s="16" t="s">
        <v>55</v>
      </c>
      <c r="U543" s="16" t="s">
        <v>55</v>
      </c>
      <c r="V543" s="16" t="s">
        <v>127</v>
      </c>
      <c r="W543" s="16"/>
      <c r="X543" s="6"/>
      <c r="Y543" s="6"/>
      <c r="Z543" s="6"/>
    </row>
    <row r="544" ht="15.0" customHeight="1">
      <c r="A544" s="7" t="s">
        <v>2608</v>
      </c>
      <c r="B544" s="7" t="s">
        <v>2609</v>
      </c>
      <c r="C544" s="7" t="s">
        <v>2610</v>
      </c>
      <c r="D544" s="7" t="s">
        <v>132</v>
      </c>
      <c r="E544" s="7" t="s">
        <v>220</v>
      </c>
      <c r="F544" s="7" t="s">
        <v>109</v>
      </c>
      <c r="G544" s="11" t="s">
        <v>55</v>
      </c>
      <c r="H544" s="11" t="s">
        <v>55</v>
      </c>
      <c r="I544" s="11" t="s">
        <v>1899</v>
      </c>
      <c r="J544" s="7" t="s">
        <v>55</v>
      </c>
      <c r="K544" s="7"/>
      <c r="L544" s="14" t="str">
        <f t="shared" si="1"/>
        <v>Sim</v>
      </c>
      <c r="M544" s="11"/>
      <c r="N544" s="7"/>
      <c r="O544" s="7" t="s">
        <v>55</v>
      </c>
      <c r="P544" s="7"/>
      <c r="Q544" s="16" t="s">
        <v>55</v>
      </c>
      <c r="R544" s="16" t="s">
        <v>55</v>
      </c>
      <c r="S544" s="16" t="s">
        <v>55</v>
      </c>
      <c r="T544" s="16" t="s">
        <v>55</v>
      </c>
      <c r="U544" s="16" t="s">
        <v>55</v>
      </c>
      <c r="V544" s="16" t="s">
        <v>127</v>
      </c>
      <c r="W544" s="16"/>
      <c r="X544" s="6"/>
      <c r="Y544" s="6"/>
      <c r="Z544" s="6"/>
    </row>
    <row r="545" ht="15.0" customHeight="1">
      <c r="A545" s="7" t="s">
        <v>2611</v>
      </c>
      <c r="B545" s="7" t="s">
        <v>2612</v>
      </c>
      <c r="C545" s="7" t="s">
        <v>2613</v>
      </c>
      <c r="D545" s="7" t="s">
        <v>132</v>
      </c>
      <c r="E545" s="7" t="s">
        <v>220</v>
      </c>
      <c r="F545" s="7" t="s">
        <v>109</v>
      </c>
      <c r="G545" s="11" t="s">
        <v>55</v>
      </c>
      <c r="H545" s="11" t="s">
        <v>55</v>
      </c>
      <c r="I545" s="11" t="s">
        <v>55</v>
      </c>
      <c r="J545" s="7" t="s">
        <v>55</v>
      </c>
      <c r="K545" s="7"/>
      <c r="L545" s="14" t="str">
        <f t="shared" si="1"/>
        <v>Sim</v>
      </c>
      <c r="M545" s="11"/>
      <c r="N545" s="7"/>
      <c r="O545" s="7" t="s">
        <v>55</v>
      </c>
      <c r="P545" s="7"/>
      <c r="Q545" s="16" t="s">
        <v>55</v>
      </c>
      <c r="R545" s="16" t="s">
        <v>55</v>
      </c>
      <c r="S545" s="16" t="s">
        <v>55</v>
      </c>
      <c r="T545" s="16" t="s">
        <v>55</v>
      </c>
      <c r="U545" s="16" t="s">
        <v>55</v>
      </c>
      <c r="V545" s="16" t="s">
        <v>127</v>
      </c>
      <c r="W545" s="16"/>
      <c r="X545" s="6"/>
      <c r="Y545" s="6"/>
      <c r="Z545" s="6"/>
    </row>
    <row r="546" ht="15.0" customHeight="1">
      <c r="A546" s="7" t="s">
        <v>2614</v>
      </c>
      <c r="B546" s="7" t="s">
        <v>2615</v>
      </c>
      <c r="C546" s="7" t="s">
        <v>2616</v>
      </c>
      <c r="D546" s="7" t="s">
        <v>132</v>
      </c>
      <c r="E546" s="7" t="s">
        <v>259</v>
      </c>
      <c r="F546" s="7" t="s">
        <v>109</v>
      </c>
      <c r="G546" s="11" t="s">
        <v>57</v>
      </c>
      <c r="H546" s="11" t="s">
        <v>55</v>
      </c>
      <c r="I546" s="11" t="s">
        <v>1899</v>
      </c>
      <c r="J546" s="7" t="s">
        <v>55</v>
      </c>
      <c r="K546" s="7"/>
      <c r="L546" s="14" t="str">
        <f t="shared" si="1"/>
        <v>Não</v>
      </c>
      <c r="M546" s="11"/>
      <c r="N546" s="7"/>
      <c r="O546" s="7" t="s">
        <v>55</v>
      </c>
      <c r="P546" s="7"/>
      <c r="Q546" s="16" t="s">
        <v>57</v>
      </c>
      <c r="R546" s="16" t="s">
        <v>55</v>
      </c>
      <c r="S546" s="16" t="s">
        <v>55</v>
      </c>
      <c r="T546" s="16" t="s">
        <v>55</v>
      </c>
      <c r="U546" s="16" t="s">
        <v>57</v>
      </c>
      <c r="V546" s="16" t="s">
        <v>225</v>
      </c>
      <c r="W546" s="16"/>
      <c r="X546" s="6"/>
      <c r="Y546" s="6"/>
      <c r="Z546" s="6"/>
    </row>
    <row r="547" ht="15.0" customHeight="1">
      <c r="A547" s="7" t="s">
        <v>2617</v>
      </c>
      <c r="B547" s="7" t="s">
        <v>2618</v>
      </c>
      <c r="C547" s="7" t="s">
        <v>2619</v>
      </c>
      <c r="D547" s="7" t="s">
        <v>132</v>
      </c>
      <c r="E547" s="7" t="s">
        <v>202</v>
      </c>
      <c r="F547" s="7" t="s">
        <v>109</v>
      </c>
      <c r="G547" s="11" t="s">
        <v>57</v>
      </c>
      <c r="H547" s="11" t="s">
        <v>55</v>
      </c>
      <c r="I547" s="11" t="s">
        <v>55</v>
      </c>
      <c r="J547" s="7" t="s">
        <v>55</v>
      </c>
      <c r="K547" s="7"/>
      <c r="L547" s="14" t="str">
        <f t="shared" si="1"/>
        <v>Não</v>
      </c>
      <c r="M547" s="11"/>
      <c r="N547" s="7"/>
      <c r="O547" s="7" t="s">
        <v>55</v>
      </c>
      <c r="P547" s="7"/>
      <c r="Q547" s="16" t="s">
        <v>57</v>
      </c>
      <c r="R547" s="16" t="s">
        <v>55</v>
      </c>
      <c r="S547" s="16" t="s">
        <v>55</v>
      </c>
      <c r="T547" s="16" t="s">
        <v>55</v>
      </c>
      <c r="U547" s="16" t="s">
        <v>57</v>
      </c>
      <c r="V547" s="16" t="s">
        <v>225</v>
      </c>
      <c r="W547" s="16"/>
      <c r="X547" s="6"/>
      <c r="Y547" s="6"/>
      <c r="Z547" s="6"/>
    </row>
    <row r="548" ht="15.0" customHeight="1">
      <c r="A548" s="7" t="s">
        <v>1263</v>
      </c>
      <c r="B548" s="7" t="s">
        <v>2620</v>
      </c>
      <c r="C548" s="7" t="s">
        <v>2621</v>
      </c>
      <c r="D548" s="7" t="s">
        <v>132</v>
      </c>
      <c r="E548" s="7" t="s">
        <v>259</v>
      </c>
      <c r="F548" s="7" t="s">
        <v>109</v>
      </c>
      <c r="G548" s="11" t="s">
        <v>55</v>
      </c>
      <c r="H548" s="11" t="s">
        <v>55</v>
      </c>
      <c r="I548" s="11" t="s">
        <v>55</v>
      </c>
      <c r="J548" s="7" t="s">
        <v>55</v>
      </c>
      <c r="K548" s="7"/>
      <c r="L548" s="14" t="str">
        <f t="shared" si="1"/>
        <v>Sim</v>
      </c>
      <c r="M548" s="46" t="s">
        <v>87</v>
      </c>
      <c r="N548" s="7"/>
      <c r="O548" s="7" t="s">
        <v>55</v>
      </c>
      <c r="P548" s="7"/>
      <c r="Q548" s="16" t="s">
        <v>55</v>
      </c>
      <c r="R548" s="16" t="s">
        <v>55</v>
      </c>
      <c r="S548" s="16" t="s">
        <v>55</v>
      </c>
      <c r="T548" s="16" t="s">
        <v>55</v>
      </c>
      <c r="U548" s="16" t="s">
        <v>55</v>
      </c>
      <c r="V548" s="16" t="s">
        <v>127</v>
      </c>
      <c r="W548" s="16"/>
      <c r="X548" s="6"/>
      <c r="Y548" s="6"/>
      <c r="Z548" s="6"/>
    </row>
    <row r="549" ht="15.0" customHeight="1">
      <c r="A549" s="7" t="s">
        <v>2622</v>
      </c>
      <c r="B549" s="7" t="s">
        <v>2623</v>
      </c>
      <c r="C549" s="7" t="s">
        <v>2624</v>
      </c>
      <c r="D549" s="7" t="s">
        <v>132</v>
      </c>
      <c r="E549" s="7" t="s">
        <v>259</v>
      </c>
      <c r="F549" s="7" t="s">
        <v>109</v>
      </c>
      <c r="G549" s="11" t="s">
        <v>57</v>
      </c>
      <c r="H549" s="11" t="s">
        <v>55</v>
      </c>
      <c r="I549" s="11" t="s">
        <v>55</v>
      </c>
      <c r="J549" s="7" t="s">
        <v>55</v>
      </c>
      <c r="K549" s="7"/>
      <c r="L549" s="14" t="str">
        <f t="shared" si="1"/>
        <v>Não</v>
      </c>
      <c r="M549" s="11"/>
      <c r="N549" s="7"/>
      <c r="O549" s="7" t="s">
        <v>55</v>
      </c>
      <c r="P549" s="7"/>
      <c r="Q549" s="16" t="s">
        <v>57</v>
      </c>
      <c r="R549" s="16" t="s">
        <v>55</v>
      </c>
      <c r="S549" s="16" t="s">
        <v>55</v>
      </c>
      <c r="T549" s="16" t="s">
        <v>55</v>
      </c>
      <c r="U549" s="16" t="s">
        <v>57</v>
      </c>
      <c r="V549" s="16" t="s">
        <v>225</v>
      </c>
      <c r="W549" s="16"/>
      <c r="X549" s="6"/>
      <c r="Y549" s="6"/>
      <c r="Z549" s="6"/>
    </row>
    <row r="550" ht="15.0" customHeight="1">
      <c r="A550" s="7" t="s">
        <v>2625</v>
      </c>
      <c r="B550" s="7" t="s">
        <v>2626</v>
      </c>
      <c r="C550" s="7" t="s">
        <v>2627</v>
      </c>
      <c r="D550" s="7" t="s">
        <v>132</v>
      </c>
      <c r="E550" s="7" t="s">
        <v>138</v>
      </c>
      <c r="F550" s="7" t="s">
        <v>109</v>
      </c>
      <c r="G550" s="11" t="s">
        <v>55</v>
      </c>
      <c r="H550" s="11" t="s">
        <v>55</v>
      </c>
      <c r="I550" s="11" t="s">
        <v>55</v>
      </c>
      <c r="J550" s="7" t="s">
        <v>55</v>
      </c>
      <c r="K550" s="7"/>
      <c r="L550" s="14" t="str">
        <f t="shared" si="1"/>
        <v>Sim</v>
      </c>
      <c r="M550" s="11"/>
      <c r="N550" s="7"/>
      <c r="O550" s="7" t="s">
        <v>55</v>
      </c>
      <c r="P550" s="7"/>
      <c r="Q550" s="16" t="s">
        <v>55</v>
      </c>
      <c r="R550" s="16" t="s">
        <v>55</v>
      </c>
      <c r="S550" s="16" t="s">
        <v>55</v>
      </c>
      <c r="T550" s="16" t="s">
        <v>55</v>
      </c>
      <c r="U550" s="16" t="s">
        <v>55</v>
      </c>
      <c r="V550" s="16" t="s">
        <v>184</v>
      </c>
      <c r="W550" s="16"/>
      <c r="X550" s="6"/>
      <c r="Y550" s="6"/>
      <c r="Z550" s="6"/>
    </row>
    <row r="551" ht="15.0" customHeight="1">
      <c r="A551" s="7" t="s">
        <v>1305</v>
      </c>
      <c r="B551" s="7" t="s">
        <v>2628</v>
      </c>
      <c r="C551" s="7" t="s">
        <v>2629</v>
      </c>
      <c r="D551" s="7" t="s">
        <v>132</v>
      </c>
      <c r="E551" s="7" t="s">
        <v>291</v>
      </c>
      <c r="F551" s="7" t="s">
        <v>109</v>
      </c>
      <c r="G551" s="11" t="s">
        <v>55</v>
      </c>
      <c r="H551" s="11" t="s">
        <v>55</v>
      </c>
      <c r="I551" s="11" t="s">
        <v>55</v>
      </c>
      <c r="J551" s="7" t="s">
        <v>55</v>
      </c>
      <c r="K551" s="7"/>
      <c r="L551" s="14" t="str">
        <f t="shared" si="1"/>
        <v>Sim</v>
      </c>
      <c r="M551" s="46" t="s">
        <v>87</v>
      </c>
      <c r="N551" s="7"/>
      <c r="O551" s="7" t="s">
        <v>55</v>
      </c>
      <c r="P551" s="7"/>
      <c r="Q551" s="16" t="s">
        <v>55</v>
      </c>
      <c r="R551" s="16" t="s">
        <v>55</v>
      </c>
      <c r="S551" s="16" t="s">
        <v>55</v>
      </c>
      <c r="T551" s="16" t="s">
        <v>55</v>
      </c>
      <c r="U551" s="16" t="s">
        <v>55</v>
      </c>
      <c r="V551" s="16" t="s">
        <v>127</v>
      </c>
      <c r="W551" s="16"/>
      <c r="X551" s="6"/>
      <c r="Y551" s="6"/>
      <c r="Z551" s="6"/>
    </row>
    <row r="552" ht="15.0" customHeight="1">
      <c r="A552" s="7" t="s">
        <v>1343</v>
      </c>
      <c r="B552" s="7" t="s">
        <v>2630</v>
      </c>
      <c r="C552" s="7" t="s">
        <v>2631</v>
      </c>
      <c r="D552" s="7" t="s">
        <v>132</v>
      </c>
      <c r="E552" s="7" t="s">
        <v>213</v>
      </c>
      <c r="F552" s="7" t="s">
        <v>109</v>
      </c>
      <c r="G552" s="11" t="s">
        <v>55</v>
      </c>
      <c r="H552" s="11" t="s">
        <v>55</v>
      </c>
      <c r="I552" s="11" t="s">
        <v>55</v>
      </c>
      <c r="J552" s="7" t="s">
        <v>55</v>
      </c>
      <c r="K552" s="7"/>
      <c r="L552" s="14" t="str">
        <f t="shared" si="1"/>
        <v>Sim</v>
      </c>
      <c r="M552" s="46" t="s">
        <v>87</v>
      </c>
      <c r="N552" s="7"/>
      <c r="O552" s="7" t="s">
        <v>55</v>
      </c>
      <c r="P552" s="7"/>
      <c r="Q552" s="16" t="s">
        <v>55</v>
      </c>
      <c r="R552" s="16" t="s">
        <v>55</v>
      </c>
      <c r="S552" s="16" t="s">
        <v>55</v>
      </c>
      <c r="T552" s="16" t="s">
        <v>55</v>
      </c>
      <c r="U552" s="16" t="s">
        <v>55</v>
      </c>
      <c r="V552" s="16" t="s">
        <v>127</v>
      </c>
      <c r="W552" s="16"/>
      <c r="X552" s="6"/>
      <c r="Y552" s="6"/>
      <c r="Z552" s="6"/>
    </row>
    <row r="553" ht="15.0" customHeight="1">
      <c r="A553" s="7" t="s">
        <v>2632</v>
      </c>
      <c r="B553" s="7" t="s">
        <v>2633</v>
      </c>
      <c r="C553" s="7" t="s">
        <v>2634</v>
      </c>
      <c r="D553" s="7" t="s">
        <v>132</v>
      </c>
      <c r="E553" s="7" t="s">
        <v>194</v>
      </c>
      <c r="F553" s="7" t="s">
        <v>109</v>
      </c>
      <c r="G553" s="11" t="s">
        <v>57</v>
      </c>
      <c r="H553" s="11" t="s">
        <v>55</v>
      </c>
      <c r="I553" s="11" t="s">
        <v>55</v>
      </c>
      <c r="J553" s="7" t="s">
        <v>55</v>
      </c>
      <c r="K553" s="7"/>
      <c r="L553" s="14" t="str">
        <f t="shared" si="1"/>
        <v>Não</v>
      </c>
      <c r="M553" s="11"/>
      <c r="N553" s="7"/>
      <c r="O553" s="7" t="s">
        <v>55</v>
      </c>
      <c r="P553" s="7"/>
      <c r="Q553" s="16" t="s">
        <v>57</v>
      </c>
      <c r="R553" s="16" t="s">
        <v>55</v>
      </c>
      <c r="S553" s="16" t="s">
        <v>55</v>
      </c>
      <c r="T553" s="16" t="s">
        <v>55</v>
      </c>
      <c r="U553" s="16" t="s">
        <v>57</v>
      </c>
      <c r="V553" s="16" t="s">
        <v>225</v>
      </c>
      <c r="W553" s="16"/>
      <c r="X553" s="6"/>
      <c r="Y553" s="6"/>
      <c r="Z553" s="6"/>
    </row>
    <row r="554" ht="15.0" customHeight="1">
      <c r="A554" s="7" t="s">
        <v>2635</v>
      </c>
      <c r="B554" s="7" t="s">
        <v>2636</v>
      </c>
      <c r="C554" s="7" t="s">
        <v>2637</v>
      </c>
      <c r="D554" s="7" t="s">
        <v>132</v>
      </c>
      <c r="E554" s="7" t="s">
        <v>194</v>
      </c>
      <c r="F554" s="7" t="s">
        <v>109</v>
      </c>
      <c r="G554" s="11" t="s">
        <v>57</v>
      </c>
      <c r="H554" s="11" t="s">
        <v>55</v>
      </c>
      <c r="I554" s="11" t="s">
        <v>1899</v>
      </c>
      <c r="J554" s="7" t="s">
        <v>55</v>
      </c>
      <c r="K554" s="7"/>
      <c r="L554" s="14" t="str">
        <f t="shared" si="1"/>
        <v>Não</v>
      </c>
      <c r="M554" s="11"/>
      <c r="N554" s="7"/>
      <c r="O554" s="7" t="s">
        <v>55</v>
      </c>
      <c r="P554" s="7"/>
      <c r="Q554" s="16" t="s">
        <v>57</v>
      </c>
      <c r="R554" s="16" t="s">
        <v>55</v>
      </c>
      <c r="S554" s="16" t="s">
        <v>55</v>
      </c>
      <c r="T554" s="16" t="s">
        <v>55</v>
      </c>
      <c r="U554" s="16" t="s">
        <v>57</v>
      </c>
      <c r="V554" s="16" t="s">
        <v>225</v>
      </c>
      <c r="W554" s="16"/>
      <c r="X554" s="6"/>
      <c r="Y554" s="6"/>
      <c r="Z554" s="6"/>
    </row>
    <row r="555" ht="15.0" customHeight="1">
      <c r="A555" s="7" t="s">
        <v>2638</v>
      </c>
      <c r="B555" s="7" t="s">
        <v>2639</v>
      </c>
      <c r="C555" s="7" t="s">
        <v>2640</v>
      </c>
      <c r="D555" s="7" t="s">
        <v>132</v>
      </c>
      <c r="E555" s="7" t="s">
        <v>243</v>
      </c>
      <c r="F555" s="7" t="s">
        <v>109</v>
      </c>
      <c r="G555" s="11" t="s">
        <v>57</v>
      </c>
      <c r="H555" s="11" t="s">
        <v>55</v>
      </c>
      <c r="I555" s="11" t="s">
        <v>55</v>
      </c>
      <c r="J555" s="7" t="s">
        <v>55</v>
      </c>
      <c r="K555" s="7"/>
      <c r="L555" s="14" t="str">
        <f t="shared" si="1"/>
        <v>Não</v>
      </c>
      <c r="M555" s="11"/>
      <c r="N555" s="7"/>
      <c r="O555" s="7" t="s">
        <v>55</v>
      </c>
      <c r="P555" s="7"/>
      <c r="Q555" s="16" t="s">
        <v>57</v>
      </c>
      <c r="R555" s="16" t="s">
        <v>55</v>
      </c>
      <c r="S555" s="16" t="s">
        <v>55</v>
      </c>
      <c r="T555" s="16" t="s">
        <v>55</v>
      </c>
      <c r="U555" s="16" t="s">
        <v>57</v>
      </c>
      <c r="V555" s="16" t="s">
        <v>225</v>
      </c>
      <c r="W555" s="16"/>
      <c r="X555" s="6"/>
      <c r="Y555" s="6"/>
      <c r="Z555" s="6"/>
    </row>
    <row r="556" ht="15.0" customHeight="1">
      <c r="A556" s="7" t="s">
        <v>1385</v>
      </c>
      <c r="B556" s="7" t="s">
        <v>2641</v>
      </c>
      <c r="C556" s="7" t="s">
        <v>2642</v>
      </c>
      <c r="D556" s="7" t="s">
        <v>132</v>
      </c>
      <c r="E556" s="7" t="s">
        <v>138</v>
      </c>
      <c r="F556" s="7" t="s">
        <v>109</v>
      </c>
      <c r="G556" s="11" t="s">
        <v>1899</v>
      </c>
      <c r="H556" s="11" t="s">
        <v>1899</v>
      </c>
      <c r="I556" s="11" t="s">
        <v>1899</v>
      </c>
      <c r="J556" s="7" t="s">
        <v>55</v>
      </c>
      <c r="K556" s="7"/>
      <c r="L556" s="14" t="str">
        <f t="shared" si="1"/>
        <v>Sim</v>
      </c>
      <c r="M556" s="46" t="s">
        <v>87</v>
      </c>
      <c r="N556" s="7"/>
      <c r="O556" s="7" t="s">
        <v>55</v>
      </c>
      <c r="P556" s="7"/>
      <c r="Q556" s="16" t="s">
        <v>55</v>
      </c>
      <c r="R556" s="16" t="s">
        <v>55</v>
      </c>
      <c r="S556" s="16" t="s">
        <v>55</v>
      </c>
      <c r="T556" s="16" t="s">
        <v>55</v>
      </c>
      <c r="U556" s="16" t="s">
        <v>55</v>
      </c>
      <c r="V556" s="16" t="s">
        <v>127</v>
      </c>
      <c r="W556" s="16"/>
      <c r="X556" s="6"/>
      <c r="Y556" s="6"/>
      <c r="Z556" s="6"/>
    </row>
    <row r="557" ht="15.0" customHeight="1">
      <c r="A557" s="7" t="s">
        <v>2643</v>
      </c>
      <c r="B557" s="7" t="s">
        <v>2644</v>
      </c>
      <c r="C557" s="7" t="s">
        <v>2645</v>
      </c>
      <c r="D557" s="7" t="s">
        <v>132</v>
      </c>
      <c r="E557" s="7" t="s">
        <v>267</v>
      </c>
      <c r="F557" s="7" t="s">
        <v>109</v>
      </c>
      <c r="G557" s="11" t="s">
        <v>55</v>
      </c>
      <c r="H557" s="11" t="s">
        <v>55</v>
      </c>
      <c r="I557" s="11" t="s">
        <v>55</v>
      </c>
      <c r="J557" s="7" t="s">
        <v>55</v>
      </c>
      <c r="K557" s="7"/>
      <c r="L557" s="14" t="str">
        <f t="shared" si="1"/>
        <v>Sim</v>
      </c>
      <c r="M557" s="11"/>
      <c r="N557" s="7"/>
      <c r="O557" s="7" t="s">
        <v>55</v>
      </c>
      <c r="P557" s="7"/>
      <c r="Q557" s="16" t="s">
        <v>55</v>
      </c>
      <c r="R557" s="16" t="s">
        <v>55</v>
      </c>
      <c r="S557" s="16" t="s">
        <v>55</v>
      </c>
      <c r="T557" s="16" t="s">
        <v>55</v>
      </c>
      <c r="U557" s="16" t="s">
        <v>55</v>
      </c>
      <c r="V557" s="16" t="s">
        <v>127</v>
      </c>
      <c r="W557" s="16"/>
      <c r="X557" s="6"/>
      <c r="Y557" s="6"/>
      <c r="Z557" s="6"/>
    </row>
    <row r="558" ht="15.0" customHeight="1">
      <c r="A558" s="7" t="s">
        <v>2646</v>
      </c>
      <c r="B558" s="7" t="s">
        <v>2647</v>
      </c>
      <c r="C558" s="7" t="s">
        <v>2648</v>
      </c>
      <c r="D558" s="7" t="s">
        <v>132</v>
      </c>
      <c r="E558" s="7" t="s">
        <v>107</v>
      </c>
      <c r="F558" s="7" t="s">
        <v>109</v>
      </c>
      <c r="G558" s="11" t="s">
        <v>55</v>
      </c>
      <c r="H558" s="11" t="s">
        <v>55</v>
      </c>
      <c r="I558" s="11" t="s">
        <v>55</v>
      </c>
      <c r="J558" s="7" t="s">
        <v>55</v>
      </c>
      <c r="K558" s="7"/>
      <c r="L558" s="14" t="str">
        <f t="shared" si="1"/>
        <v>Sim</v>
      </c>
      <c r="M558" s="11"/>
      <c r="N558" s="7"/>
      <c r="O558" s="7" t="s">
        <v>55</v>
      </c>
      <c r="P558" s="7"/>
      <c r="Q558" s="16" t="s">
        <v>55</v>
      </c>
      <c r="R558" s="16" t="s">
        <v>55</v>
      </c>
      <c r="S558" s="16" t="s">
        <v>55</v>
      </c>
      <c r="T558" s="16" t="s">
        <v>55</v>
      </c>
      <c r="U558" s="16" t="s">
        <v>55</v>
      </c>
      <c r="V558" s="16" t="s">
        <v>127</v>
      </c>
      <c r="W558" s="16"/>
      <c r="X558" s="6"/>
      <c r="Y558" s="6"/>
      <c r="Z558" s="6"/>
    </row>
    <row r="559" ht="15.0" customHeight="1">
      <c r="A559" s="7" t="s">
        <v>2649</v>
      </c>
      <c r="B559" s="7" t="s">
        <v>2650</v>
      </c>
      <c r="C559" s="7" t="s">
        <v>2651</v>
      </c>
      <c r="D559" s="7" t="s">
        <v>132</v>
      </c>
      <c r="E559" s="7" t="s">
        <v>213</v>
      </c>
      <c r="F559" s="7" t="s">
        <v>109</v>
      </c>
      <c r="G559" s="11" t="s">
        <v>55</v>
      </c>
      <c r="H559" s="11" t="s">
        <v>55</v>
      </c>
      <c r="I559" s="11" t="s">
        <v>1899</v>
      </c>
      <c r="J559" s="7" t="s">
        <v>55</v>
      </c>
      <c r="K559" s="7"/>
      <c r="L559" s="14" t="str">
        <f t="shared" si="1"/>
        <v>Sim</v>
      </c>
      <c r="M559" s="11"/>
      <c r="N559" s="7"/>
      <c r="O559" s="7" t="s">
        <v>55</v>
      </c>
      <c r="P559" s="7"/>
      <c r="Q559" s="16" t="s">
        <v>55</v>
      </c>
      <c r="R559" s="16" t="s">
        <v>55</v>
      </c>
      <c r="S559" s="16" t="s">
        <v>55</v>
      </c>
      <c r="T559" s="16" t="s">
        <v>55</v>
      </c>
      <c r="U559" s="16" t="s">
        <v>55</v>
      </c>
      <c r="V559" s="16" t="s">
        <v>127</v>
      </c>
      <c r="W559" s="16"/>
      <c r="X559" s="6"/>
      <c r="Y559" s="6"/>
      <c r="Z559" s="6"/>
    </row>
    <row r="560" ht="15.0" customHeight="1">
      <c r="A560" s="7" t="s">
        <v>2652</v>
      </c>
      <c r="B560" s="7" t="s">
        <v>2653</v>
      </c>
      <c r="C560" s="7" t="s">
        <v>2654</v>
      </c>
      <c r="D560" s="7" t="s">
        <v>132</v>
      </c>
      <c r="E560" s="7" t="s">
        <v>213</v>
      </c>
      <c r="F560" s="7" t="s">
        <v>109</v>
      </c>
      <c r="G560" s="11" t="s">
        <v>57</v>
      </c>
      <c r="H560" s="11" t="s">
        <v>1899</v>
      </c>
      <c r="I560" s="11" t="s">
        <v>1899</v>
      </c>
      <c r="J560" s="7" t="s">
        <v>55</v>
      </c>
      <c r="K560" s="7"/>
      <c r="L560" s="14" t="str">
        <f t="shared" si="1"/>
        <v>Não</v>
      </c>
      <c r="M560" s="11"/>
      <c r="N560" s="7"/>
      <c r="O560" s="7" t="s">
        <v>55</v>
      </c>
      <c r="P560" s="7"/>
      <c r="Q560" s="16" t="s">
        <v>57</v>
      </c>
      <c r="R560" s="16" t="s">
        <v>55</v>
      </c>
      <c r="S560" s="16" t="s">
        <v>55</v>
      </c>
      <c r="T560" s="16" t="s">
        <v>55</v>
      </c>
      <c r="U560" s="16" t="s">
        <v>57</v>
      </c>
      <c r="V560" s="16" t="s">
        <v>225</v>
      </c>
      <c r="W560" s="16"/>
      <c r="X560" s="6"/>
      <c r="Y560" s="6"/>
      <c r="Z560" s="6"/>
    </row>
    <row r="561" ht="15.0" customHeight="1">
      <c r="A561" s="7" t="s">
        <v>2655</v>
      </c>
      <c r="B561" s="7" t="s">
        <v>2656</v>
      </c>
      <c r="C561" s="7" t="s">
        <v>2657</v>
      </c>
      <c r="D561" s="7" t="s">
        <v>132</v>
      </c>
      <c r="E561" s="7" t="s">
        <v>107</v>
      </c>
      <c r="F561" s="7" t="s">
        <v>109</v>
      </c>
      <c r="G561" s="11" t="s">
        <v>55</v>
      </c>
      <c r="H561" s="11" t="s">
        <v>55</v>
      </c>
      <c r="I561" s="11" t="s">
        <v>1899</v>
      </c>
      <c r="J561" s="7" t="s">
        <v>55</v>
      </c>
      <c r="K561" s="7"/>
      <c r="L561" s="14" t="str">
        <f t="shared" si="1"/>
        <v>Sim</v>
      </c>
      <c r="M561" s="11"/>
      <c r="N561" s="7"/>
      <c r="O561" s="7" t="s">
        <v>55</v>
      </c>
      <c r="P561" s="7"/>
      <c r="Q561" s="16" t="s">
        <v>55</v>
      </c>
      <c r="R561" s="16" t="s">
        <v>55</v>
      </c>
      <c r="S561" s="16" t="s">
        <v>55</v>
      </c>
      <c r="T561" s="16" t="s">
        <v>55</v>
      </c>
      <c r="U561" s="16" t="s">
        <v>55</v>
      </c>
      <c r="V561" s="16" t="s">
        <v>127</v>
      </c>
      <c r="W561" s="16"/>
      <c r="X561" s="6"/>
      <c r="Y561" s="6"/>
      <c r="Z561" s="6"/>
    </row>
    <row r="562" ht="15.0" customHeight="1">
      <c r="A562" s="7" t="s">
        <v>2658</v>
      </c>
      <c r="B562" s="7" t="s">
        <v>2659</v>
      </c>
      <c r="C562" s="7" t="s">
        <v>2660</v>
      </c>
      <c r="D562" s="7" t="s">
        <v>132</v>
      </c>
      <c r="E562" s="7" t="s">
        <v>138</v>
      </c>
      <c r="F562" s="7" t="s">
        <v>109</v>
      </c>
      <c r="G562" s="11" t="s">
        <v>55</v>
      </c>
      <c r="H562" s="11" t="s">
        <v>55</v>
      </c>
      <c r="I562" s="11" t="s">
        <v>55</v>
      </c>
      <c r="J562" s="7" t="s">
        <v>55</v>
      </c>
      <c r="K562" s="7"/>
      <c r="L562" s="14" t="str">
        <f t="shared" si="1"/>
        <v>Sim</v>
      </c>
      <c r="M562" s="11"/>
      <c r="N562" s="7"/>
      <c r="O562" s="7" t="s">
        <v>55</v>
      </c>
      <c r="P562" s="7"/>
      <c r="Q562" s="16" t="s">
        <v>55</v>
      </c>
      <c r="R562" s="16" t="s">
        <v>55</v>
      </c>
      <c r="S562" s="16" t="s">
        <v>55</v>
      </c>
      <c r="T562" s="16" t="s">
        <v>55</v>
      </c>
      <c r="U562" s="16" t="s">
        <v>55</v>
      </c>
      <c r="V562" s="16" t="s">
        <v>127</v>
      </c>
      <c r="W562" s="16"/>
      <c r="X562" s="6"/>
      <c r="Y562" s="6"/>
      <c r="Z562" s="6"/>
    </row>
    <row r="563" ht="15.0" customHeight="1">
      <c r="A563" s="7" t="s">
        <v>2661</v>
      </c>
      <c r="B563" s="7" t="s">
        <v>2662</v>
      </c>
      <c r="C563" s="7" t="s">
        <v>2663</v>
      </c>
      <c r="D563" s="7" t="s">
        <v>132</v>
      </c>
      <c r="E563" s="7" t="s">
        <v>165</v>
      </c>
      <c r="F563" s="7" t="s">
        <v>109</v>
      </c>
      <c r="G563" s="11" t="s">
        <v>55</v>
      </c>
      <c r="H563" s="11" t="s">
        <v>55</v>
      </c>
      <c r="I563" s="11" t="s">
        <v>55</v>
      </c>
      <c r="J563" s="7" t="s">
        <v>55</v>
      </c>
      <c r="K563" s="7"/>
      <c r="L563" s="14" t="str">
        <f t="shared" si="1"/>
        <v>Sim</v>
      </c>
      <c r="M563" s="11"/>
      <c r="N563" s="7"/>
      <c r="O563" s="7" t="s">
        <v>55</v>
      </c>
      <c r="P563" s="7"/>
      <c r="Q563" s="16" t="s">
        <v>55</v>
      </c>
      <c r="R563" s="16" t="s">
        <v>55</v>
      </c>
      <c r="S563" s="16" t="s">
        <v>55</v>
      </c>
      <c r="T563" s="16" t="s">
        <v>55</v>
      </c>
      <c r="U563" s="16" t="s">
        <v>55</v>
      </c>
      <c r="V563" s="16" t="s">
        <v>127</v>
      </c>
      <c r="W563" s="16"/>
      <c r="X563" s="6"/>
      <c r="Y563" s="6"/>
      <c r="Z563" s="6"/>
    </row>
    <row r="564" ht="15.0" customHeight="1">
      <c r="A564" s="7" t="s">
        <v>2664</v>
      </c>
      <c r="B564" s="7" t="s">
        <v>2665</v>
      </c>
      <c r="C564" s="7" t="s">
        <v>2666</v>
      </c>
      <c r="D564" s="7" t="s">
        <v>132</v>
      </c>
      <c r="E564" s="7" t="s">
        <v>165</v>
      </c>
      <c r="F564" s="7" t="s">
        <v>109</v>
      </c>
      <c r="G564" s="11" t="s">
        <v>57</v>
      </c>
      <c r="H564" s="11" t="s">
        <v>55</v>
      </c>
      <c r="I564" s="11" t="s">
        <v>55</v>
      </c>
      <c r="J564" s="7" t="s">
        <v>55</v>
      </c>
      <c r="K564" s="7"/>
      <c r="L564" s="14" t="str">
        <f t="shared" si="1"/>
        <v>Não</v>
      </c>
      <c r="M564" s="11"/>
      <c r="N564" s="7"/>
      <c r="O564" s="7" t="s">
        <v>55</v>
      </c>
      <c r="P564" s="7"/>
      <c r="Q564" s="16" t="s">
        <v>57</v>
      </c>
      <c r="R564" s="16" t="s">
        <v>55</v>
      </c>
      <c r="S564" s="16" t="s">
        <v>55</v>
      </c>
      <c r="T564" s="16" t="s">
        <v>55</v>
      </c>
      <c r="U564" s="16" t="s">
        <v>57</v>
      </c>
      <c r="V564" s="16" t="s">
        <v>1440</v>
      </c>
      <c r="W564" s="16"/>
      <c r="X564" s="6"/>
      <c r="Y564" s="6"/>
      <c r="Z564" s="6"/>
    </row>
    <row r="565" ht="15.0" customHeight="1">
      <c r="A565" s="7" t="s">
        <v>2667</v>
      </c>
      <c r="B565" s="7" t="s">
        <v>2668</v>
      </c>
      <c r="C565" s="7" t="s">
        <v>2669</v>
      </c>
      <c r="D565" s="7" t="s">
        <v>132</v>
      </c>
      <c r="E565" s="7" t="s">
        <v>165</v>
      </c>
      <c r="F565" s="7" t="s">
        <v>109</v>
      </c>
      <c r="G565" s="11" t="s">
        <v>57</v>
      </c>
      <c r="H565" s="11" t="s">
        <v>1899</v>
      </c>
      <c r="I565" s="11" t="s">
        <v>55</v>
      </c>
      <c r="J565" s="7" t="s">
        <v>55</v>
      </c>
      <c r="K565" s="7"/>
      <c r="L565" s="14" t="str">
        <f t="shared" si="1"/>
        <v>Não</v>
      </c>
      <c r="M565" s="11"/>
      <c r="N565" s="7"/>
      <c r="O565" s="7" t="s">
        <v>55</v>
      </c>
      <c r="P565" s="7"/>
      <c r="Q565" s="16" t="s">
        <v>57</v>
      </c>
      <c r="R565" s="16" t="s">
        <v>55</v>
      </c>
      <c r="S565" s="16" t="s">
        <v>55</v>
      </c>
      <c r="T565" s="16" t="s">
        <v>55</v>
      </c>
      <c r="U565" s="16" t="s">
        <v>57</v>
      </c>
      <c r="V565" s="16" t="s">
        <v>225</v>
      </c>
      <c r="W565" s="16"/>
      <c r="X565" s="6"/>
      <c r="Y565" s="6"/>
      <c r="Z565" s="6"/>
    </row>
    <row r="566" ht="15.0" customHeight="1">
      <c r="A566" s="7" t="s">
        <v>2670</v>
      </c>
      <c r="B566" s="7" t="s">
        <v>2671</v>
      </c>
      <c r="C566" s="7" t="s">
        <v>2672</v>
      </c>
      <c r="D566" s="7" t="s">
        <v>132</v>
      </c>
      <c r="E566" s="7" t="s">
        <v>138</v>
      </c>
      <c r="F566" s="7" t="s">
        <v>109</v>
      </c>
      <c r="G566" s="11" t="s">
        <v>57</v>
      </c>
      <c r="H566" s="11" t="s">
        <v>55</v>
      </c>
      <c r="I566" s="11" t="s">
        <v>55</v>
      </c>
      <c r="J566" s="7" t="s">
        <v>55</v>
      </c>
      <c r="K566" s="7"/>
      <c r="L566" s="14" t="str">
        <f t="shared" si="1"/>
        <v>Não</v>
      </c>
      <c r="M566" s="11"/>
      <c r="N566" s="7"/>
      <c r="O566" s="7" t="s">
        <v>55</v>
      </c>
      <c r="P566" s="7"/>
      <c r="Q566" s="16" t="s">
        <v>57</v>
      </c>
      <c r="R566" s="16" t="s">
        <v>55</v>
      </c>
      <c r="S566" s="16" t="s">
        <v>55</v>
      </c>
      <c r="T566" s="16" t="s">
        <v>55</v>
      </c>
      <c r="U566" s="16" t="s">
        <v>57</v>
      </c>
      <c r="V566" s="16" t="s">
        <v>225</v>
      </c>
      <c r="W566" s="16"/>
      <c r="X566" s="6"/>
      <c r="Y566" s="6"/>
      <c r="Z566" s="6"/>
    </row>
    <row r="567" ht="55.5" customHeight="1">
      <c r="A567" s="7" t="s">
        <v>2673</v>
      </c>
      <c r="B567" s="7" t="s">
        <v>2674</v>
      </c>
      <c r="C567" s="7" t="s">
        <v>2675</v>
      </c>
      <c r="D567" s="7" t="s">
        <v>132</v>
      </c>
      <c r="E567" s="7" t="s">
        <v>138</v>
      </c>
      <c r="F567" s="7" t="s">
        <v>109</v>
      </c>
      <c r="G567" s="11" t="s">
        <v>55</v>
      </c>
      <c r="H567" s="11" t="s">
        <v>55</v>
      </c>
      <c r="I567" s="11" t="s">
        <v>55</v>
      </c>
      <c r="J567" s="7" t="s">
        <v>55</v>
      </c>
      <c r="K567" s="11" t="s">
        <v>2676</v>
      </c>
      <c r="L567" s="14" t="str">
        <f t="shared" si="1"/>
        <v>Não</v>
      </c>
      <c r="M567" s="11"/>
      <c r="N567" s="7"/>
      <c r="O567" s="7" t="s">
        <v>55</v>
      </c>
      <c r="P567" s="7"/>
      <c r="Q567" s="16" t="s">
        <v>55</v>
      </c>
      <c r="R567" s="16" t="s">
        <v>55</v>
      </c>
      <c r="S567" s="16" t="s">
        <v>55</v>
      </c>
      <c r="T567" s="16" t="s">
        <v>55</v>
      </c>
      <c r="U567" s="16" t="s">
        <v>55</v>
      </c>
      <c r="V567" s="16" t="s">
        <v>127</v>
      </c>
      <c r="W567" s="16" t="s">
        <v>2677</v>
      </c>
      <c r="X567" s="6"/>
      <c r="Y567" s="6"/>
      <c r="Z567" s="6"/>
    </row>
    <row r="568" ht="15.0" customHeight="1">
      <c r="A568" s="7" t="s">
        <v>2678</v>
      </c>
      <c r="B568" s="7" t="s">
        <v>2679</v>
      </c>
      <c r="C568" s="7" t="s">
        <v>2680</v>
      </c>
      <c r="D568" s="7" t="s">
        <v>132</v>
      </c>
      <c r="E568" s="7" t="s">
        <v>138</v>
      </c>
      <c r="F568" s="7" t="s">
        <v>109</v>
      </c>
      <c r="G568" s="11" t="s">
        <v>57</v>
      </c>
      <c r="H568" s="11" t="s">
        <v>55</v>
      </c>
      <c r="I568" s="11" t="s">
        <v>55</v>
      </c>
      <c r="J568" s="7" t="s">
        <v>55</v>
      </c>
      <c r="K568" s="7"/>
      <c r="L568" s="14" t="str">
        <f t="shared" si="1"/>
        <v>Não</v>
      </c>
      <c r="M568" s="11"/>
      <c r="N568" s="7"/>
      <c r="O568" s="7" t="s">
        <v>55</v>
      </c>
      <c r="P568" s="7"/>
      <c r="Q568" s="16" t="s">
        <v>57</v>
      </c>
      <c r="R568" s="16" t="s">
        <v>55</v>
      </c>
      <c r="S568" s="16" t="s">
        <v>55</v>
      </c>
      <c r="T568" s="16" t="s">
        <v>55</v>
      </c>
      <c r="U568" s="16" t="s">
        <v>57</v>
      </c>
      <c r="V568" s="16" t="s">
        <v>225</v>
      </c>
      <c r="W568" s="16"/>
      <c r="X568" s="6"/>
      <c r="Y568" s="6"/>
      <c r="Z568" s="6"/>
    </row>
    <row r="569" ht="15.0" customHeight="1">
      <c r="A569" s="7" t="s">
        <v>2681</v>
      </c>
      <c r="B569" s="7" t="s">
        <v>2682</v>
      </c>
      <c r="C569" s="7" t="s">
        <v>2683</v>
      </c>
      <c r="D569" s="7" t="s">
        <v>132</v>
      </c>
      <c r="E569" s="7" t="s">
        <v>138</v>
      </c>
      <c r="F569" s="7" t="s">
        <v>109</v>
      </c>
      <c r="G569" s="11" t="s">
        <v>57</v>
      </c>
      <c r="H569" s="11" t="s">
        <v>55</v>
      </c>
      <c r="I569" s="11" t="s">
        <v>55</v>
      </c>
      <c r="J569" s="7" t="s">
        <v>55</v>
      </c>
      <c r="K569" s="7"/>
      <c r="L569" s="14" t="str">
        <f t="shared" si="1"/>
        <v>Não</v>
      </c>
      <c r="M569" s="7"/>
      <c r="N569" s="7"/>
      <c r="O569" s="7" t="s">
        <v>55</v>
      </c>
      <c r="P569" s="7"/>
      <c r="Q569" s="16" t="s">
        <v>57</v>
      </c>
      <c r="R569" s="16" t="s">
        <v>55</v>
      </c>
      <c r="S569" s="16" t="s">
        <v>55</v>
      </c>
      <c r="T569" s="16" t="s">
        <v>55</v>
      </c>
      <c r="U569" s="16" t="s">
        <v>57</v>
      </c>
      <c r="V569" s="16" t="s">
        <v>225</v>
      </c>
      <c r="W569" s="16"/>
      <c r="X569" s="6"/>
      <c r="Y569" s="6"/>
      <c r="Z569" s="6"/>
    </row>
    <row r="570" ht="15.0" customHeight="1">
      <c r="A570" s="7" t="s">
        <v>2684</v>
      </c>
      <c r="B570" s="7" t="s">
        <v>2685</v>
      </c>
      <c r="C570" s="7" t="s">
        <v>2686</v>
      </c>
      <c r="D570" s="7" t="s">
        <v>132</v>
      </c>
      <c r="E570" s="7" t="s">
        <v>138</v>
      </c>
      <c r="F570" s="7" t="s">
        <v>109</v>
      </c>
      <c r="G570" s="11" t="s">
        <v>57</v>
      </c>
      <c r="H570" s="11" t="s">
        <v>55</v>
      </c>
      <c r="I570" s="11" t="s">
        <v>55</v>
      </c>
      <c r="J570" s="7" t="s">
        <v>55</v>
      </c>
      <c r="K570" s="7"/>
      <c r="L570" s="14" t="str">
        <f t="shared" si="1"/>
        <v>Não</v>
      </c>
      <c r="M570" s="7"/>
      <c r="N570" s="7"/>
      <c r="O570" s="7" t="s">
        <v>55</v>
      </c>
      <c r="P570" s="7"/>
      <c r="Q570" s="16" t="s">
        <v>57</v>
      </c>
      <c r="R570" s="16" t="s">
        <v>55</v>
      </c>
      <c r="S570" s="16" t="s">
        <v>55</v>
      </c>
      <c r="T570" s="16" t="s">
        <v>55</v>
      </c>
      <c r="U570" s="16" t="s">
        <v>57</v>
      </c>
      <c r="V570" s="16" t="s">
        <v>225</v>
      </c>
      <c r="W570" s="16"/>
      <c r="X570" s="6"/>
      <c r="Y570" s="6"/>
      <c r="Z570" s="6"/>
    </row>
    <row r="571" ht="15.0" customHeight="1">
      <c r="A571" s="7" t="s">
        <v>2687</v>
      </c>
      <c r="B571" s="7" t="s">
        <v>2688</v>
      </c>
      <c r="C571" s="7" t="s">
        <v>2689</v>
      </c>
      <c r="D571" s="7" t="s">
        <v>132</v>
      </c>
      <c r="E571" s="7" t="s">
        <v>138</v>
      </c>
      <c r="F571" s="7" t="s">
        <v>109</v>
      </c>
      <c r="G571" s="11" t="s">
        <v>57</v>
      </c>
      <c r="H571" s="11" t="s">
        <v>55</v>
      </c>
      <c r="I571" s="11" t="s">
        <v>55</v>
      </c>
      <c r="J571" s="7" t="s">
        <v>55</v>
      </c>
      <c r="K571" s="7"/>
      <c r="L571" s="14" t="str">
        <f t="shared" si="1"/>
        <v>Não</v>
      </c>
      <c r="M571" s="7"/>
      <c r="N571" s="7"/>
      <c r="O571" s="7" t="s">
        <v>55</v>
      </c>
      <c r="P571" s="7"/>
      <c r="Q571" s="16" t="s">
        <v>57</v>
      </c>
      <c r="R571" s="16" t="s">
        <v>55</v>
      </c>
      <c r="S571" s="16" t="s">
        <v>55</v>
      </c>
      <c r="T571" s="16" t="s">
        <v>55</v>
      </c>
      <c r="U571" s="16" t="s">
        <v>57</v>
      </c>
      <c r="V571" s="16" t="s">
        <v>225</v>
      </c>
      <c r="W571" s="16"/>
      <c r="X571" s="6"/>
      <c r="Y571" s="6"/>
      <c r="Z571" s="6"/>
    </row>
    <row r="572" ht="15.0" customHeight="1">
      <c r="A572" s="7" t="s">
        <v>2690</v>
      </c>
      <c r="B572" s="7" t="s">
        <v>2691</v>
      </c>
      <c r="C572" s="7" t="s">
        <v>2692</v>
      </c>
      <c r="D572" s="7" t="s">
        <v>132</v>
      </c>
      <c r="E572" s="7" t="s">
        <v>138</v>
      </c>
      <c r="F572" s="7" t="s">
        <v>109</v>
      </c>
      <c r="G572" s="11" t="s">
        <v>57</v>
      </c>
      <c r="H572" s="11" t="s">
        <v>55</v>
      </c>
      <c r="I572" s="11" t="s">
        <v>55</v>
      </c>
      <c r="J572" s="7" t="s">
        <v>55</v>
      </c>
      <c r="K572" s="7"/>
      <c r="L572" s="14" t="str">
        <f t="shared" si="1"/>
        <v>Não</v>
      </c>
      <c r="M572" s="7"/>
      <c r="N572" s="7"/>
      <c r="O572" s="7" t="s">
        <v>55</v>
      </c>
      <c r="P572" s="7"/>
      <c r="Q572" s="16" t="s">
        <v>57</v>
      </c>
      <c r="R572" s="16" t="s">
        <v>55</v>
      </c>
      <c r="S572" s="16" t="s">
        <v>55</v>
      </c>
      <c r="T572" s="16" t="s">
        <v>55</v>
      </c>
      <c r="U572" s="16" t="s">
        <v>57</v>
      </c>
      <c r="V572" s="16" t="s">
        <v>225</v>
      </c>
      <c r="W572" s="16"/>
      <c r="X572" s="6"/>
      <c r="Y572" s="6"/>
      <c r="Z572" s="6"/>
    </row>
    <row r="573" ht="15.0" customHeight="1">
      <c r="A573" s="7" t="s">
        <v>2693</v>
      </c>
      <c r="B573" s="7" t="s">
        <v>2694</v>
      </c>
      <c r="C573" s="7" t="s">
        <v>2695</v>
      </c>
      <c r="D573" s="7" t="s">
        <v>132</v>
      </c>
      <c r="E573" s="7" t="s">
        <v>107</v>
      </c>
      <c r="F573" s="7" t="s">
        <v>109</v>
      </c>
      <c r="G573" s="11" t="s">
        <v>57</v>
      </c>
      <c r="H573" s="11" t="s">
        <v>55</v>
      </c>
      <c r="I573" s="11" t="s">
        <v>1899</v>
      </c>
      <c r="J573" s="7" t="s">
        <v>55</v>
      </c>
      <c r="K573" s="7"/>
      <c r="L573" s="14" t="str">
        <f t="shared" si="1"/>
        <v>Não</v>
      </c>
      <c r="M573" s="7"/>
      <c r="N573" s="7"/>
      <c r="O573" s="7" t="s">
        <v>55</v>
      </c>
      <c r="P573" s="7"/>
      <c r="Q573" s="16" t="s">
        <v>57</v>
      </c>
      <c r="R573" s="16" t="s">
        <v>55</v>
      </c>
      <c r="S573" s="16" t="s">
        <v>55</v>
      </c>
      <c r="T573" s="16" t="s">
        <v>55</v>
      </c>
      <c r="U573" s="16" t="s">
        <v>57</v>
      </c>
      <c r="V573" s="16" t="s">
        <v>225</v>
      </c>
      <c r="W573" s="16"/>
      <c r="X573" s="6"/>
      <c r="Y573" s="6"/>
      <c r="Z573" s="6"/>
    </row>
    <row r="574" ht="15.0" customHeight="1">
      <c r="A574" s="7" t="s">
        <v>2696</v>
      </c>
      <c r="B574" s="7" t="s">
        <v>2697</v>
      </c>
      <c r="C574" s="7" t="s">
        <v>2698</v>
      </c>
      <c r="D574" s="7" t="s">
        <v>132</v>
      </c>
      <c r="E574" s="7" t="s">
        <v>259</v>
      </c>
      <c r="F574" s="7" t="s">
        <v>109</v>
      </c>
      <c r="G574" s="11" t="s">
        <v>57</v>
      </c>
      <c r="H574" s="11" t="s">
        <v>55</v>
      </c>
      <c r="I574" s="11" t="s">
        <v>55</v>
      </c>
      <c r="J574" s="7" t="s">
        <v>55</v>
      </c>
      <c r="K574" s="7"/>
      <c r="L574" s="14" t="str">
        <f t="shared" si="1"/>
        <v>Não</v>
      </c>
      <c r="M574" s="7"/>
      <c r="N574" s="7"/>
      <c r="O574" s="7" t="s">
        <v>55</v>
      </c>
      <c r="P574" s="7"/>
      <c r="Q574" s="16" t="s">
        <v>57</v>
      </c>
      <c r="R574" s="16" t="s">
        <v>55</v>
      </c>
      <c r="S574" s="16" t="s">
        <v>55</v>
      </c>
      <c r="T574" s="16" t="s">
        <v>55</v>
      </c>
      <c r="U574" s="16" t="s">
        <v>57</v>
      </c>
      <c r="V574" s="16" t="s">
        <v>225</v>
      </c>
      <c r="W574" s="16"/>
      <c r="X574" s="6"/>
      <c r="Y574" s="6"/>
      <c r="Z574" s="6"/>
    </row>
    <row r="575" ht="15.0" customHeight="1">
      <c r="A575" s="7" t="s">
        <v>2699</v>
      </c>
      <c r="B575" s="7" t="s">
        <v>2700</v>
      </c>
      <c r="C575" s="7" t="s">
        <v>2701</v>
      </c>
      <c r="D575" s="7" t="s">
        <v>132</v>
      </c>
      <c r="E575" s="7" t="s">
        <v>107</v>
      </c>
      <c r="F575" s="7" t="s">
        <v>109</v>
      </c>
      <c r="G575" s="11" t="s">
        <v>57</v>
      </c>
      <c r="H575" s="11" t="s">
        <v>55</v>
      </c>
      <c r="I575" s="11" t="s">
        <v>55</v>
      </c>
      <c r="J575" s="7" t="s">
        <v>55</v>
      </c>
      <c r="K575" s="7"/>
      <c r="L575" s="14" t="str">
        <f t="shared" si="1"/>
        <v>Não</v>
      </c>
      <c r="M575" s="7"/>
      <c r="N575" s="7"/>
      <c r="O575" s="7" t="s">
        <v>55</v>
      </c>
      <c r="P575" s="7"/>
      <c r="Q575" s="16" t="s">
        <v>57</v>
      </c>
      <c r="R575" s="16" t="s">
        <v>55</v>
      </c>
      <c r="S575" s="16" t="s">
        <v>55</v>
      </c>
      <c r="T575" s="16" t="s">
        <v>55</v>
      </c>
      <c r="U575" s="16" t="s">
        <v>57</v>
      </c>
      <c r="V575" s="16" t="s">
        <v>225</v>
      </c>
      <c r="W575" s="16"/>
      <c r="X575" s="6"/>
      <c r="Y575" s="6"/>
      <c r="Z575" s="6"/>
    </row>
    <row r="576" ht="15.0" customHeight="1">
      <c r="A576" s="7" t="s">
        <v>2702</v>
      </c>
      <c r="B576" s="7" t="s">
        <v>2703</v>
      </c>
      <c r="C576" s="7" t="s">
        <v>2704</v>
      </c>
      <c r="D576" s="7" t="s">
        <v>132</v>
      </c>
      <c r="E576" s="7" t="s">
        <v>107</v>
      </c>
      <c r="F576" s="7" t="s">
        <v>109</v>
      </c>
      <c r="G576" s="11" t="s">
        <v>57</v>
      </c>
      <c r="H576" s="11" t="s">
        <v>55</v>
      </c>
      <c r="I576" s="11" t="s">
        <v>55</v>
      </c>
      <c r="J576" s="7" t="s">
        <v>55</v>
      </c>
      <c r="K576" s="7"/>
      <c r="L576" s="14" t="str">
        <f t="shared" si="1"/>
        <v>Não</v>
      </c>
      <c r="M576" s="7"/>
      <c r="N576" s="7"/>
      <c r="O576" s="7" t="s">
        <v>55</v>
      </c>
      <c r="P576" s="7"/>
      <c r="Q576" s="16" t="s">
        <v>57</v>
      </c>
      <c r="R576" s="16" t="s">
        <v>55</v>
      </c>
      <c r="S576" s="16" t="s">
        <v>55</v>
      </c>
      <c r="T576" s="16" t="s">
        <v>55</v>
      </c>
      <c r="U576" s="16" t="s">
        <v>57</v>
      </c>
      <c r="V576" s="16" t="s">
        <v>225</v>
      </c>
      <c r="W576" s="16"/>
      <c r="X576" s="6"/>
      <c r="Y576" s="6"/>
      <c r="Z576" s="6"/>
    </row>
    <row r="577" ht="15.0" customHeight="1">
      <c r="A577" s="7" t="s">
        <v>2705</v>
      </c>
      <c r="B577" s="7" t="s">
        <v>2706</v>
      </c>
      <c r="C577" s="7" t="s">
        <v>2707</v>
      </c>
      <c r="D577" s="7" t="s">
        <v>132</v>
      </c>
      <c r="E577" s="7" t="s">
        <v>138</v>
      </c>
      <c r="F577" s="7" t="s">
        <v>109</v>
      </c>
      <c r="G577" s="11" t="s">
        <v>57</v>
      </c>
      <c r="H577" s="11" t="s">
        <v>55</v>
      </c>
      <c r="I577" s="11" t="s">
        <v>55</v>
      </c>
      <c r="J577" s="7" t="s">
        <v>55</v>
      </c>
      <c r="K577" s="7"/>
      <c r="L577" s="14" t="str">
        <f t="shared" si="1"/>
        <v>Não</v>
      </c>
      <c r="M577" s="7"/>
      <c r="N577" s="7"/>
      <c r="O577" s="7" t="s">
        <v>55</v>
      </c>
      <c r="P577" s="7"/>
      <c r="Q577" s="16" t="s">
        <v>55</v>
      </c>
      <c r="R577" s="16" t="s">
        <v>55</v>
      </c>
      <c r="S577" s="16" t="s">
        <v>55</v>
      </c>
      <c r="T577" s="16" t="s">
        <v>55</v>
      </c>
      <c r="U577" s="16" t="s">
        <v>55</v>
      </c>
      <c r="V577" s="16" t="s">
        <v>127</v>
      </c>
      <c r="W577" s="16"/>
      <c r="X577" s="6"/>
      <c r="Y577" s="6"/>
      <c r="Z577" s="6"/>
    </row>
    <row r="578" ht="15.0" customHeight="1">
      <c r="A578" s="7" t="s">
        <v>2708</v>
      </c>
      <c r="B578" s="7" t="s">
        <v>2709</v>
      </c>
      <c r="C578" s="7" t="s">
        <v>2710</v>
      </c>
      <c r="D578" s="7" t="s">
        <v>132</v>
      </c>
      <c r="E578" s="7" t="s">
        <v>138</v>
      </c>
      <c r="F578" s="7" t="s">
        <v>109</v>
      </c>
      <c r="G578" s="11" t="s">
        <v>57</v>
      </c>
      <c r="H578" s="11" t="s">
        <v>55</v>
      </c>
      <c r="I578" s="11" t="s">
        <v>55</v>
      </c>
      <c r="J578" s="7" t="s">
        <v>55</v>
      </c>
      <c r="K578" s="7"/>
      <c r="L578" s="14" t="str">
        <f t="shared" si="1"/>
        <v>Não</v>
      </c>
      <c r="M578" s="7"/>
      <c r="N578" s="7"/>
      <c r="O578" s="7" t="s">
        <v>55</v>
      </c>
      <c r="P578" s="7"/>
      <c r="Q578" s="16" t="s">
        <v>55</v>
      </c>
      <c r="R578" s="16" t="s">
        <v>55</v>
      </c>
      <c r="S578" s="16" t="s">
        <v>55</v>
      </c>
      <c r="T578" s="16" t="s">
        <v>55</v>
      </c>
      <c r="U578" s="16" t="s">
        <v>55</v>
      </c>
      <c r="V578" s="16" t="s">
        <v>127</v>
      </c>
      <c r="W578" s="16"/>
      <c r="X578" s="6"/>
      <c r="Y578" s="6"/>
      <c r="Z578" s="6"/>
    </row>
    <row r="579" ht="15.0" customHeight="1">
      <c r="A579" s="7" t="s">
        <v>2711</v>
      </c>
      <c r="B579" s="7" t="s">
        <v>2712</v>
      </c>
      <c r="C579" s="7" t="s">
        <v>2713</v>
      </c>
      <c r="D579" s="7" t="s">
        <v>132</v>
      </c>
      <c r="E579" s="7" t="s">
        <v>138</v>
      </c>
      <c r="F579" s="7" t="s">
        <v>109</v>
      </c>
      <c r="G579" s="11" t="s">
        <v>55</v>
      </c>
      <c r="H579" s="11" t="s">
        <v>55</v>
      </c>
      <c r="I579" s="11" t="s">
        <v>55</v>
      </c>
      <c r="J579" s="7" t="s">
        <v>55</v>
      </c>
      <c r="K579" s="7"/>
      <c r="L579" s="14" t="str">
        <f t="shared" si="1"/>
        <v>Sim</v>
      </c>
      <c r="M579" s="11"/>
      <c r="N579" s="7"/>
      <c r="O579" s="7" t="s">
        <v>55</v>
      </c>
      <c r="P579" s="7"/>
      <c r="Q579" s="16" t="s">
        <v>55</v>
      </c>
      <c r="R579" s="16" t="s">
        <v>55</v>
      </c>
      <c r="S579" s="16" t="s">
        <v>55</v>
      </c>
      <c r="T579" s="16" t="s">
        <v>55</v>
      </c>
      <c r="U579" s="16" t="s">
        <v>55</v>
      </c>
      <c r="V579" s="16" t="s">
        <v>127</v>
      </c>
      <c r="W579" s="16"/>
      <c r="X579" s="6"/>
      <c r="Y579" s="6"/>
      <c r="Z579" s="6"/>
    </row>
    <row r="580" ht="15.0" customHeight="1">
      <c r="A580" s="7" t="s">
        <v>2714</v>
      </c>
      <c r="B580" s="7" t="s">
        <v>2715</v>
      </c>
      <c r="C580" s="7" t="s">
        <v>2716</v>
      </c>
      <c r="D580" s="7" t="s">
        <v>132</v>
      </c>
      <c r="E580" s="7" t="s">
        <v>202</v>
      </c>
      <c r="F580" s="7" t="s">
        <v>109</v>
      </c>
      <c r="G580" s="11" t="s">
        <v>1899</v>
      </c>
      <c r="H580" s="11" t="s">
        <v>55</v>
      </c>
      <c r="I580" s="11" t="s">
        <v>55</v>
      </c>
      <c r="J580" s="7" t="s">
        <v>55</v>
      </c>
      <c r="K580" s="7"/>
      <c r="L580" s="14" t="str">
        <f t="shared" si="1"/>
        <v>Sim</v>
      </c>
      <c r="M580" s="11"/>
      <c r="N580" s="7"/>
      <c r="O580" s="7" t="s">
        <v>55</v>
      </c>
      <c r="P580" s="7"/>
      <c r="Q580" s="16" t="s">
        <v>57</v>
      </c>
      <c r="R580" s="16" t="s">
        <v>55</v>
      </c>
      <c r="S580" s="16" t="s">
        <v>55</v>
      </c>
      <c r="T580" s="16" t="s">
        <v>55</v>
      </c>
      <c r="U580" s="16" t="s">
        <v>57</v>
      </c>
      <c r="V580" s="16" t="s">
        <v>225</v>
      </c>
      <c r="W580" s="16"/>
      <c r="X580" s="6"/>
      <c r="Y580" s="6"/>
      <c r="Z580" s="6"/>
    </row>
    <row r="581" ht="15.0" customHeight="1">
      <c r="A581" s="7" t="s">
        <v>2717</v>
      </c>
      <c r="B581" s="7" t="s">
        <v>2718</v>
      </c>
      <c r="C581" s="7" t="s">
        <v>2719</v>
      </c>
      <c r="D581" s="7" t="s">
        <v>132</v>
      </c>
      <c r="E581" s="7" t="s">
        <v>138</v>
      </c>
      <c r="F581" s="7" t="s">
        <v>109</v>
      </c>
      <c r="G581" s="11" t="s">
        <v>55</v>
      </c>
      <c r="H581" s="11" t="s">
        <v>55</v>
      </c>
      <c r="I581" s="11" t="s">
        <v>55</v>
      </c>
      <c r="J581" s="7" t="s">
        <v>55</v>
      </c>
      <c r="K581" s="7"/>
      <c r="L581" s="14" t="str">
        <f t="shared" si="1"/>
        <v>Sim</v>
      </c>
      <c r="M581" s="11"/>
      <c r="N581" s="7"/>
      <c r="O581" s="7" t="s">
        <v>55</v>
      </c>
      <c r="P581" s="7"/>
      <c r="Q581" s="16" t="s">
        <v>55</v>
      </c>
      <c r="R581" s="16" t="s">
        <v>55</v>
      </c>
      <c r="S581" s="16" t="s">
        <v>55</v>
      </c>
      <c r="T581" s="16" t="s">
        <v>55</v>
      </c>
      <c r="U581" s="16" t="s">
        <v>55</v>
      </c>
      <c r="V581" s="16" t="s">
        <v>127</v>
      </c>
      <c r="W581" s="16"/>
      <c r="X581" s="6"/>
      <c r="Y581" s="6"/>
      <c r="Z581" s="6"/>
    </row>
    <row r="582" ht="15.0" customHeight="1">
      <c r="A582" s="7" t="s">
        <v>2720</v>
      </c>
      <c r="B582" s="7" t="s">
        <v>2721</v>
      </c>
      <c r="C582" s="7" t="s">
        <v>2722</v>
      </c>
      <c r="D582" s="7" t="s">
        <v>132</v>
      </c>
      <c r="E582" s="7" t="s">
        <v>138</v>
      </c>
      <c r="F582" s="7" t="s">
        <v>109</v>
      </c>
      <c r="G582" s="11" t="s">
        <v>57</v>
      </c>
      <c r="H582" s="11" t="s">
        <v>55</v>
      </c>
      <c r="I582" s="11" t="s">
        <v>55</v>
      </c>
      <c r="J582" s="7" t="s">
        <v>55</v>
      </c>
      <c r="K582" s="7"/>
      <c r="L582" s="14" t="str">
        <f t="shared" si="1"/>
        <v>Não</v>
      </c>
      <c r="M582" s="7"/>
      <c r="N582" s="7"/>
      <c r="O582" s="7" t="s">
        <v>55</v>
      </c>
      <c r="P582" s="7"/>
      <c r="Q582" s="16" t="s">
        <v>57</v>
      </c>
      <c r="R582" s="16" t="s">
        <v>55</v>
      </c>
      <c r="S582" s="16" t="s">
        <v>55</v>
      </c>
      <c r="T582" s="16" t="s">
        <v>55</v>
      </c>
      <c r="U582" s="16" t="s">
        <v>57</v>
      </c>
      <c r="V582" s="16" t="s">
        <v>225</v>
      </c>
      <c r="W582" s="16"/>
      <c r="X582" s="6"/>
      <c r="Y582" s="6"/>
      <c r="Z582" s="6"/>
    </row>
    <row r="583" ht="15.0" customHeight="1">
      <c r="A583" s="7" t="s">
        <v>2723</v>
      </c>
      <c r="B583" s="7" t="s">
        <v>2724</v>
      </c>
      <c r="C583" s="7" t="s">
        <v>2725</v>
      </c>
      <c r="D583" s="7" t="s">
        <v>132</v>
      </c>
      <c r="E583" s="7" t="s">
        <v>213</v>
      </c>
      <c r="F583" s="7" t="s">
        <v>109</v>
      </c>
      <c r="G583" s="11" t="s">
        <v>57</v>
      </c>
      <c r="H583" s="11" t="s">
        <v>1899</v>
      </c>
      <c r="I583" s="11" t="s">
        <v>55</v>
      </c>
      <c r="J583" s="7" t="s">
        <v>55</v>
      </c>
      <c r="K583" s="7"/>
      <c r="L583" s="14" t="str">
        <f t="shared" si="1"/>
        <v>Não</v>
      </c>
      <c r="M583" s="7"/>
      <c r="N583" s="7"/>
      <c r="O583" s="7" t="s">
        <v>55</v>
      </c>
      <c r="P583" s="7"/>
      <c r="Q583" s="16" t="s">
        <v>57</v>
      </c>
      <c r="R583" s="16" t="s">
        <v>55</v>
      </c>
      <c r="S583" s="16" t="s">
        <v>55</v>
      </c>
      <c r="T583" s="16" t="s">
        <v>55</v>
      </c>
      <c r="U583" s="16" t="s">
        <v>57</v>
      </c>
      <c r="V583" s="16" t="s">
        <v>225</v>
      </c>
      <c r="W583" s="16"/>
      <c r="X583" s="6"/>
      <c r="Y583" s="6"/>
      <c r="Z583" s="6"/>
    </row>
    <row r="584" ht="15.0" customHeight="1">
      <c r="A584" s="7" t="s">
        <v>2726</v>
      </c>
      <c r="B584" s="7" t="s">
        <v>2727</v>
      </c>
      <c r="C584" s="7" t="s">
        <v>2728</v>
      </c>
      <c r="D584" s="7" t="s">
        <v>132</v>
      </c>
      <c r="E584" s="7" t="s">
        <v>138</v>
      </c>
      <c r="F584" s="7" t="s">
        <v>109</v>
      </c>
      <c r="G584" s="11" t="s">
        <v>55</v>
      </c>
      <c r="H584" s="11" t="s">
        <v>55</v>
      </c>
      <c r="I584" s="11" t="s">
        <v>55</v>
      </c>
      <c r="J584" s="7" t="s">
        <v>55</v>
      </c>
      <c r="K584" s="7"/>
      <c r="L584" s="14" t="str">
        <f t="shared" si="1"/>
        <v>Sim</v>
      </c>
      <c r="M584" s="11"/>
      <c r="N584" s="7"/>
      <c r="O584" s="7" t="s">
        <v>55</v>
      </c>
      <c r="P584" s="7"/>
      <c r="Q584" s="16" t="s">
        <v>55</v>
      </c>
      <c r="R584" s="16" t="s">
        <v>55</v>
      </c>
      <c r="S584" s="16" t="s">
        <v>55</v>
      </c>
      <c r="T584" s="16" t="s">
        <v>55</v>
      </c>
      <c r="U584" s="16" t="s">
        <v>55</v>
      </c>
      <c r="V584" s="16" t="s">
        <v>127</v>
      </c>
      <c r="W584" s="16"/>
      <c r="X584" s="6"/>
      <c r="Y584" s="6"/>
      <c r="Z584" s="6"/>
    </row>
    <row r="585" ht="15.0" customHeight="1">
      <c r="A585" s="7" t="s">
        <v>2729</v>
      </c>
      <c r="B585" s="7" t="s">
        <v>2730</v>
      </c>
      <c r="C585" s="7" t="s">
        <v>2731</v>
      </c>
      <c r="D585" s="7" t="s">
        <v>132</v>
      </c>
      <c r="E585" s="7" t="s">
        <v>107</v>
      </c>
      <c r="F585" s="7" t="s">
        <v>109</v>
      </c>
      <c r="G585" s="11" t="s">
        <v>1899</v>
      </c>
      <c r="H585" s="11" t="s">
        <v>1899</v>
      </c>
      <c r="I585" s="11" t="s">
        <v>55</v>
      </c>
      <c r="J585" s="7" t="s">
        <v>55</v>
      </c>
      <c r="K585" s="7"/>
      <c r="L585" s="14" t="str">
        <f t="shared" si="1"/>
        <v>Sim</v>
      </c>
      <c r="M585" s="11"/>
      <c r="N585" s="7"/>
      <c r="O585" s="7" t="s">
        <v>55</v>
      </c>
      <c r="P585" s="7"/>
      <c r="Q585" s="16" t="s">
        <v>55</v>
      </c>
      <c r="R585" s="16" t="s">
        <v>55</v>
      </c>
      <c r="S585" s="16" t="s">
        <v>55</v>
      </c>
      <c r="T585" s="16" t="s">
        <v>55</v>
      </c>
      <c r="U585" s="16" t="s">
        <v>55</v>
      </c>
      <c r="V585" s="16" t="s">
        <v>127</v>
      </c>
      <c r="W585" s="16"/>
      <c r="X585" s="6"/>
      <c r="Y585" s="6"/>
      <c r="Z585" s="6"/>
    </row>
    <row r="586" ht="15.0" customHeight="1">
      <c r="A586" s="7" t="s">
        <v>2732</v>
      </c>
      <c r="B586" s="7" t="s">
        <v>2733</v>
      </c>
      <c r="C586" s="7" t="s">
        <v>2734</v>
      </c>
      <c r="D586" s="7" t="s">
        <v>76</v>
      </c>
      <c r="E586" s="7" t="s">
        <v>138</v>
      </c>
      <c r="F586" s="7" t="s">
        <v>109</v>
      </c>
      <c r="G586" s="11" t="s">
        <v>55</v>
      </c>
      <c r="H586" s="11" t="s">
        <v>55</v>
      </c>
      <c r="I586" s="11" t="s">
        <v>55</v>
      </c>
      <c r="J586" s="7" t="s">
        <v>55</v>
      </c>
      <c r="K586" s="7"/>
      <c r="L586" s="14" t="str">
        <f t="shared" si="1"/>
        <v>Sim</v>
      </c>
      <c r="M586" s="11"/>
      <c r="N586" s="7"/>
      <c r="O586" s="7" t="s">
        <v>55</v>
      </c>
      <c r="P586" s="7"/>
      <c r="Q586" s="16" t="s">
        <v>55</v>
      </c>
      <c r="R586" s="16" t="s">
        <v>55</v>
      </c>
      <c r="S586" s="16" t="s">
        <v>55</v>
      </c>
      <c r="T586" s="16" t="s">
        <v>55</v>
      </c>
      <c r="U586" s="16" t="s">
        <v>55</v>
      </c>
      <c r="V586" s="16" t="s">
        <v>127</v>
      </c>
      <c r="W586" s="16"/>
      <c r="X586" s="6"/>
      <c r="Y586" s="6"/>
      <c r="Z586" s="6"/>
    </row>
    <row r="587" ht="15.0" customHeight="1">
      <c r="A587" s="7" t="s">
        <v>2735</v>
      </c>
      <c r="B587" s="7" t="s">
        <v>2736</v>
      </c>
      <c r="C587" s="7" t="s">
        <v>2737</v>
      </c>
      <c r="D587" s="7" t="s">
        <v>76</v>
      </c>
      <c r="E587" s="7" t="s">
        <v>138</v>
      </c>
      <c r="F587" s="7" t="s">
        <v>109</v>
      </c>
      <c r="G587" s="11" t="s">
        <v>55</v>
      </c>
      <c r="H587" s="11" t="s">
        <v>1899</v>
      </c>
      <c r="I587" s="11" t="s">
        <v>55</v>
      </c>
      <c r="J587" s="7" t="s">
        <v>55</v>
      </c>
      <c r="K587" s="7"/>
      <c r="L587" s="14" t="str">
        <f t="shared" si="1"/>
        <v>Sim</v>
      </c>
      <c r="M587" s="11"/>
      <c r="N587" s="7"/>
      <c r="O587" s="7" t="s">
        <v>55</v>
      </c>
      <c r="P587" s="7"/>
      <c r="Q587" s="16" t="s">
        <v>55</v>
      </c>
      <c r="R587" s="16" t="s">
        <v>55</v>
      </c>
      <c r="S587" s="16" t="s">
        <v>55</v>
      </c>
      <c r="T587" s="16" t="s">
        <v>55</v>
      </c>
      <c r="U587" s="16" t="s">
        <v>55</v>
      </c>
      <c r="V587" s="16" t="s">
        <v>127</v>
      </c>
      <c r="W587" s="16"/>
      <c r="X587" s="6"/>
      <c r="Y587" s="6"/>
      <c r="Z587" s="6"/>
    </row>
    <row r="588" ht="15.0" customHeight="1">
      <c r="A588" s="7" t="s">
        <v>2738</v>
      </c>
      <c r="B588" s="7" t="s">
        <v>2739</v>
      </c>
      <c r="C588" s="7" t="s">
        <v>2740</v>
      </c>
      <c r="D588" s="7" t="s">
        <v>76</v>
      </c>
      <c r="E588" s="7" t="s">
        <v>85</v>
      </c>
      <c r="F588" s="7" t="s">
        <v>109</v>
      </c>
      <c r="G588" s="11" t="s">
        <v>55</v>
      </c>
      <c r="H588" s="11" t="s">
        <v>55</v>
      </c>
      <c r="I588" s="11" t="s">
        <v>55</v>
      </c>
      <c r="J588" s="7" t="s">
        <v>55</v>
      </c>
      <c r="K588" s="7"/>
      <c r="L588" s="14" t="str">
        <f t="shared" si="1"/>
        <v>Sim</v>
      </c>
      <c r="M588" s="11"/>
      <c r="N588" s="7"/>
      <c r="O588" s="7" t="s">
        <v>55</v>
      </c>
      <c r="P588" s="7"/>
      <c r="Q588" s="16" t="s">
        <v>55</v>
      </c>
      <c r="R588" s="16" t="s">
        <v>55</v>
      </c>
      <c r="S588" s="16" t="s">
        <v>55</v>
      </c>
      <c r="T588" s="16" t="s">
        <v>55</v>
      </c>
      <c r="U588" s="16" t="s">
        <v>55</v>
      </c>
      <c r="V588" s="16" t="s">
        <v>127</v>
      </c>
      <c r="W588" s="16"/>
      <c r="X588" s="6"/>
      <c r="Y588" s="6"/>
      <c r="Z588" s="6"/>
    </row>
    <row r="589" ht="15.0" customHeight="1">
      <c r="A589" s="7" t="s">
        <v>2741</v>
      </c>
      <c r="B589" s="7" t="s">
        <v>2742</v>
      </c>
      <c r="C589" s="7" t="s">
        <v>2743</v>
      </c>
      <c r="D589" s="7" t="s">
        <v>76</v>
      </c>
      <c r="E589" s="7" t="s">
        <v>85</v>
      </c>
      <c r="F589" s="7" t="s">
        <v>109</v>
      </c>
      <c r="G589" s="11" t="s">
        <v>1899</v>
      </c>
      <c r="H589" s="11" t="s">
        <v>55</v>
      </c>
      <c r="I589" s="11" t="s">
        <v>55</v>
      </c>
      <c r="J589" s="7" t="s">
        <v>55</v>
      </c>
      <c r="K589" s="7"/>
      <c r="L589" s="14" t="str">
        <f t="shared" si="1"/>
        <v>Sim</v>
      </c>
      <c r="M589" s="11"/>
      <c r="N589" s="7"/>
      <c r="O589" s="7" t="s">
        <v>55</v>
      </c>
      <c r="P589" s="7"/>
      <c r="Q589" s="16" t="s">
        <v>55</v>
      </c>
      <c r="R589" s="16" t="s">
        <v>55</v>
      </c>
      <c r="S589" s="16" t="s">
        <v>55</v>
      </c>
      <c r="T589" s="16" t="s">
        <v>55</v>
      </c>
      <c r="U589" s="16" t="s">
        <v>55</v>
      </c>
      <c r="V589" s="16" t="s">
        <v>184</v>
      </c>
      <c r="W589" s="16"/>
      <c r="X589" s="6"/>
      <c r="Y589" s="6"/>
      <c r="Z589" s="6"/>
    </row>
    <row r="590" ht="15.0" customHeight="1">
      <c r="A590" s="7" t="s">
        <v>2744</v>
      </c>
      <c r="B590" s="7" t="s">
        <v>1980</v>
      </c>
      <c r="C590" s="7" t="s">
        <v>2745</v>
      </c>
      <c r="D590" s="7" t="s">
        <v>76</v>
      </c>
      <c r="E590" s="7" t="s">
        <v>48</v>
      </c>
      <c r="F590" s="7" t="s">
        <v>109</v>
      </c>
      <c r="G590" s="11" t="s">
        <v>55</v>
      </c>
      <c r="H590" s="11" t="s">
        <v>55</v>
      </c>
      <c r="I590" s="11" t="s">
        <v>55</v>
      </c>
      <c r="J590" s="7" t="s">
        <v>55</v>
      </c>
      <c r="K590" s="11" t="s">
        <v>2746</v>
      </c>
      <c r="L590" s="14" t="str">
        <f t="shared" si="1"/>
        <v>Não</v>
      </c>
      <c r="M590" s="11"/>
      <c r="N590" s="7"/>
      <c r="O590" s="7" t="s">
        <v>55</v>
      </c>
      <c r="P590" s="7"/>
      <c r="Q590" s="16" t="s">
        <v>55</v>
      </c>
      <c r="R590" s="16" t="s">
        <v>55</v>
      </c>
      <c r="S590" s="16" t="s">
        <v>55</v>
      </c>
      <c r="T590" s="16" t="s">
        <v>55</v>
      </c>
      <c r="U590" s="16" t="s">
        <v>55</v>
      </c>
      <c r="V590" s="16" t="s">
        <v>127</v>
      </c>
      <c r="W590" s="16" t="s">
        <v>2747</v>
      </c>
      <c r="X590" s="6"/>
      <c r="Y590" s="6"/>
      <c r="Z590" s="6"/>
    </row>
    <row r="591" ht="15.0" customHeight="1">
      <c r="A591" s="7" t="s">
        <v>2748</v>
      </c>
      <c r="B591" s="7" t="s">
        <v>2749</v>
      </c>
      <c r="C591" s="7" t="s">
        <v>2750</v>
      </c>
      <c r="D591" s="7" t="s">
        <v>76</v>
      </c>
      <c r="E591" s="7" t="s">
        <v>180</v>
      </c>
      <c r="F591" s="7" t="s">
        <v>109</v>
      </c>
      <c r="G591" s="11" t="s">
        <v>55</v>
      </c>
      <c r="H591" s="11" t="s">
        <v>55</v>
      </c>
      <c r="I591" s="11" t="s">
        <v>1899</v>
      </c>
      <c r="J591" s="7" t="s">
        <v>55</v>
      </c>
      <c r="K591" s="7"/>
      <c r="L591" s="14" t="str">
        <f t="shared" si="1"/>
        <v>Sim</v>
      </c>
      <c r="M591" s="11"/>
      <c r="N591" s="7"/>
      <c r="O591" s="7" t="s">
        <v>55</v>
      </c>
      <c r="P591" s="7"/>
      <c r="Q591" s="16" t="s">
        <v>55</v>
      </c>
      <c r="R591" s="16" t="s">
        <v>55</v>
      </c>
      <c r="S591" s="16" t="s">
        <v>55</v>
      </c>
      <c r="T591" s="16" t="s">
        <v>55</v>
      </c>
      <c r="U591" s="16" t="s">
        <v>55</v>
      </c>
      <c r="V591" s="16" t="s">
        <v>127</v>
      </c>
      <c r="W591" s="16"/>
      <c r="X591" s="6"/>
      <c r="Y591" s="6"/>
      <c r="Z591" s="6"/>
    </row>
    <row r="592" ht="15.0" customHeight="1">
      <c r="A592" s="7" t="s">
        <v>2751</v>
      </c>
      <c r="B592" s="7" t="s">
        <v>2752</v>
      </c>
      <c r="C592" s="7" t="s">
        <v>2753</v>
      </c>
      <c r="D592" s="7" t="s">
        <v>76</v>
      </c>
      <c r="E592" s="7" t="s">
        <v>148</v>
      </c>
      <c r="F592" s="7" t="s">
        <v>109</v>
      </c>
      <c r="G592" s="11" t="s">
        <v>55</v>
      </c>
      <c r="H592" s="11" t="s">
        <v>55</v>
      </c>
      <c r="I592" s="11" t="s">
        <v>1899</v>
      </c>
      <c r="J592" s="7" t="s">
        <v>55</v>
      </c>
      <c r="K592" s="7"/>
      <c r="L592" s="14" t="str">
        <f t="shared" si="1"/>
        <v>Sim</v>
      </c>
      <c r="M592" s="11"/>
      <c r="N592" s="7"/>
      <c r="O592" s="7" t="s">
        <v>55</v>
      </c>
      <c r="P592" s="7"/>
      <c r="Q592" s="16" t="s">
        <v>57</v>
      </c>
      <c r="R592" s="16" t="s">
        <v>55</v>
      </c>
      <c r="S592" s="16" t="s">
        <v>55</v>
      </c>
      <c r="T592" s="16" t="s">
        <v>55</v>
      </c>
      <c r="U592" s="16" t="s">
        <v>57</v>
      </c>
      <c r="V592" s="16" t="s">
        <v>225</v>
      </c>
      <c r="W592" s="16"/>
      <c r="X592" s="6"/>
      <c r="Y592" s="6"/>
      <c r="Z592" s="6"/>
    </row>
    <row r="593" ht="15.0" customHeight="1">
      <c r="A593" s="7" t="s">
        <v>2754</v>
      </c>
      <c r="B593" s="7" t="s">
        <v>2755</v>
      </c>
      <c r="C593" s="7" t="s">
        <v>2756</v>
      </c>
      <c r="D593" s="7" t="s">
        <v>76</v>
      </c>
      <c r="E593" s="7" t="s">
        <v>180</v>
      </c>
      <c r="F593" s="7" t="s">
        <v>109</v>
      </c>
      <c r="G593" s="11" t="s">
        <v>55</v>
      </c>
      <c r="H593" s="11" t="s">
        <v>55</v>
      </c>
      <c r="I593" s="11" t="s">
        <v>1899</v>
      </c>
      <c r="J593" s="7" t="s">
        <v>55</v>
      </c>
      <c r="K593" s="11" t="s">
        <v>2757</v>
      </c>
      <c r="L593" s="14" t="str">
        <f t="shared" si="1"/>
        <v>Não</v>
      </c>
      <c r="M593" s="11"/>
      <c r="N593" s="7"/>
      <c r="O593" s="7" t="s">
        <v>55</v>
      </c>
      <c r="P593" s="7"/>
      <c r="Q593" s="16" t="s">
        <v>55</v>
      </c>
      <c r="R593" s="16" t="s">
        <v>55</v>
      </c>
      <c r="S593" s="16" t="s">
        <v>55</v>
      </c>
      <c r="T593" s="16" t="s">
        <v>55</v>
      </c>
      <c r="U593" s="16" t="s">
        <v>55</v>
      </c>
      <c r="V593" s="16" t="s">
        <v>127</v>
      </c>
      <c r="W593" s="16" t="s">
        <v>2758</v>
      </c>
      <c r="X593" s="6"/>
      <c r="Y593" s="6"/>
      <c r="Z593" s="6"/>
    </row>
    <row r="594" ht="15.0" customHeight="1">
      <c r="A594" s="7" t="s">
        <v>2759</v>
      </c>
      <c r="B594" s="7" t="s">
        <v>2760</v>
      </c>
      <c r="C594" s="7" t="s">
        <v>2761</v>
      </c>
      <c r="D594" s="7" t="s">
        <v>76</v>
      </c>
      <c r="E594" s="7" t="s">
        <v>291</v>
      </c>
      <c r="F594" s="7" t="s">
        <v>109</v>
      </c>
      <c r="G594" s="11" t="s">
        <v>55</v>
      </c>
      <c r="H594" s="11" t="s">
        <v>55</v>
      </c>
      <c r="I594" s="11" t="s">
        <v>55</v>
      </c>
      <c r="J594" s="7" t="s">
        <v>55</v>
      </c>
      <c r="K594" s="7"/>
      <c r="L594" s="14" t="str">
        <f t="shared" si="1"/>
        <v>Sim</v>
      </c>
      <c r="M594" s="11"/>
      <c r="N594" s="7"/>
      <c r="O594" s="7" t="s">
        <v>55</v>
      </c>
      <c r="P594" s="7"/>
      <c r="Q594" s="16" t="s">
        <v>55</v>
      </c>
      <c r="R594" s="16" t="s">
        <v>55</v>
      </c>
      <c r="S594" s="16" t="s">
        <v>55</v>
      </c>
      <c r="T594" s="16" t="s">
        <v>55</v>
      </c>
      <c r="U594" s="16" t="s">
        <v>55</v>
      </c>
      <c r="V594" s="16" t="s">
        <v>127</v>
      </c>
      <c r="W594" s="16"/>
      <c r="X594" s="6"/>
      <c r="Y594" s="6"/>
      <c r="Z594" s="6"/>
    </row>
    <row r="595" ht="15.0" customHeight="1">
      <c r="A595" s="7" t="s">
        <v>2762</v>
      </c>
      <c r="B595" s="7" t="s">
        <v>2763</v>
      </c>
      <c r="C595" s="7" t="s">
        <v>2764</v>
      </c>
      <c r="D595" s="7" t="s">
        <v>76</v>
      </c>
      <c r="E595" s="7" t="s">
        <v>138</v>
      </c>
      <c r="F595" s="7" t="s">
        <v>109</v>
      </c>
      <c r="G595" s="11" t="s">
        <v>55</v>
      </c>
      <c r="H595" s="11" t="s">
        <v>55</v>
      </c>
      <c r="I595" s="11" t="s">
        <v>55</v>
      </c>
      <c r="J595" s="7" t="s">
        <v>55</v>
      </c>
      <c r="K595" s="11" t="s">
        <v>1369</v>
      </c>
      <c r="L595" s="14" t="str">
        <f t="shared" si="1"/>
        <v>Não</v>
      </c>
      <c r="M595" s="7"/>
      <c r="N595" s="7"/>
      <c r="O595" s="7" t="s">
        <v>55</v>
      </c>
      <c r="P595" s="7"/>
      <c r="Q595" s="16" t="s">
        <v>55</v>
      </c>
      <c r="R595" s="16" t="s">
        <v>55</v>
      </c>
      <c r="S595" s="16" t="s">
        <v>55</v>
      </c>
      <c r="T595" s="16" t="s">
        <v>55</v>
      </c>
      <c r="U595" s="16" t="s">
        <v>55</v>
      </c>
      <c r="V595" s="16" t="s">
        <v>127</v>
      </c>
      <c r="W595" s="16" t="s">
        <v>2765</v>
      </c>
      <c r="X595" s="6"/>
      <c r="Y595" s="6"/>
      <c r="Z595" s="6"/>
    </row>
    <row r="596" ht="15.0" customHeight="1">
      <c r="A596" s="7" t="s">
        <v>2766</v>
      </c>
      <c r="B596" s="7" t="s">
        <v>2767</v>
      </c>
      <c r="C596" s="7" t="s">
        <v>2768</v>
      </c>
      <c r="D596" s="7" t="s">
        <v>76</v>
      </c>
      <c r="E596" s="7" t="s">
        <v>138</v>
      </c>
      <c r="F596" s="7" t="s">
        <v>109</v>
      </c>
      <c r="G596" s="11" t="s">
        <v>55</v>
      </c>
      <c r="H596" s="11" t="s">
        <v>55</v>
      </c>
      <c r="I596" s="11" t="s">
        <v>55</v>
      </c>
      <c r="J596" s="7" t="s">
        <v>55</v>
      </c>
      <c r="K596" s="11" t="s">
        <v>2769</v>
      </c>
      <c r="L596" s="14" t="str">
        <f t="shared" si="1"/>
        <v>Não</v>
      </c>
      <c r="M596" s="7"/>
      <c r="N596" s="7"/>
      <c r="O596" s="7" t="s">
        <v>55</v>
      </c>
      <c r="P596" s="7"/>
      <c r="Q596" s="16" t="s">
        <v>55</v>
      </c>
      <c r="R596" s="16" t="s">
        <v>55</v>
      </c>
      <c r="S596" s="16" t="s">
        <v>55</v>
      </c>
      <c r="T596" s="16" t="s">
        <v>55</v>
      </c>
      <c r="U596" s="16" t="s">
        <v>55</v>
      </c>
      <c r="V596" s="16" t="s">
        <v>127</v>
      </c>
      <c r="W596" s="16" t="s">
        <v>2770</v>
      </c>
      <c r="X596" s="6"/>
      <c r="Y596" s="6"/>
      <c r="Z596" s="6"/>
    </row>
    <row r="597" ht="15.0" customHeight="1">
      <c r="A597" s="7" t="s">
        <v>2771</v>
      </c>
      <c r="B597" s="7" t="s">
        <v>2772</v>
      </c>
      <c r="C597" s="7" t="s">
        <v>2773</v>
      </c>
      <c r="D597" s="7" t="s">
        <v>76</v>
      </c>
      <c r="E597" s="7" t="s">
        <v>85</v>
      </c>
      <c r="F597" s="7" t="s">
        <v>109</v>
      </c>
      <c r="G597" s="11" t="s">
        <v>55</v>
      </c>
      <c r="H597" s="11" t="s">
        <v>55</v>
      </c>
      <c r="I597" s="11" t="s">
        <v>55</v>
      </c>
      <c r="J597" s="7" t="s">
        <v>55</v>
      </c>
      <c r="K597" s="11" t="s">
        <v>2774</v>
      </c>
      <c r="L597" s="14" t="str">
        <f t="shared" si="1"/>
        <v>Não</v>
      </c>
      <c r="M597" s="7"/>
      <c r="N597" s="7"/>
      <c r="O597" s="7" t="s">
        <v>55</v>
      </c>
      <c r="P597" s="7"/>
      <c r="Q597" s="16" t="s">
        <v>55</v>
      </c>
      <c r="R597" s="16" t="s">
        <v>55</v>
      </c>
      <c r="S597" s="16" t="s">
        <v>55</v>
      </c>
      <c r="T597" s="16" t="s">
        <v>55</v>
      </c>
      <c r="U597" s="16" t="s">
        <v>55</v>
      </c>
      <c r="V597" s="16" t="s">
        <v>127</v>
      </c>
      <c r="W597" s="16" t="s">
        <v>2775</v>
      </c>
      <c r="X597" s="6"/>
      <c r="Y597" s="6"/>
      <c r="Z597" s="6"/>
    </row>
    <row r="598" ht="15.0" customHeight="1">
      <c r="A598" s="7" t="s">
        <v>2776</v>
      </c>
      <c r="B598" s="7" t="s">
        <v>2777</v>
      </c>
      <c r="C598" s="7" t="s">
        <v>2778</v>
      </c>
      <c r="D598" s="7" t="s">
        <v>76</v>
      </c>
      <c r="E598" s="7" t="s">
        <v>85</v>
      </c>
      <c r="F598" s="7" t="s">
        <v>109</v>
      </c>
      <c r="G598" s="11" t="s">
        <v>55</v>
      </c>
      <c r="H598" s="11" t="s">
        <v>55</v>
      </c>
      <c r="I598" s="11" t="s">
        <v>1899</v>
      </c>
      <c r="J598" s="7" t="s">
        <v>55</v>
      </c>
      <c r="K598" s="11" t="s">
        <v>2779</v>
      </c>
      <c r="L598" s="14" t="str">
        <f t="shared" si="1"/>
        <v>Não</v>
      </c>
      <c r="M598" s="7"/>
      <c r="N598" s="7"/>
      <c r="O598" s="7" t="s">
        <v>55</v>
      </c>
      <c r="P598" s="7"/>
      <c r="Q598" s="16" t="s">
        <v>55</v>
      </c>
      <c r="R598" s="16" t="s">
        <v>55</v>
      </c>
      <c r="S598" s="16" t="s">
        <v>55</v>
      </c>
      <c r="T598" s="16" t="s">
        <v>55</v>
      </c>
      <c r="U598" s="16" t="s">
        <v>55</v>
      </c>
      <c r="V598" s="16" t="s">
        <v>127</v>
      </c>
      <c r="W598" s="16" t="s">
        <v>2780</v>
      </c>
      <c r="X598" s="6"/>
      <c r="Y598" s="6"/>
      <c r="Z598" s="6"/>
    </row>
    <row r="599" ht="15.0" customHeight="1">
      <c r="A599" s="7" t="s">
        <v>2781</v>
      </c>
      <c r="B599" s="7" t="s">
        <v>2782</v>
      </c>
      <c r="C599" s="7" t="s">
        <v>2783</v>
      </c>
      <c r="D599" s="7" t="s">
        <v>76</v>
      </c>
      <c r="E599" s="7" t="s">
        <v>85</v>
      </c>
      <c r="F599" s="7" t="s">
        <v>109</v>
      </c>
      <c r="G599" s="11" t="s">
        <v>55</v>
      </c>
      <c r="H599" s="11" t="s">
        <v>55</v>
      </c>
      <c r="I599" s="11" t="s">
        <v>55</v>
      </c>
      <c r="J599" s="7" t="s">
        <v>55</v>
      </c>
      <c r="K599" s="7"/>
      <c r="L599" s="14" t="str">
        <f t="shared" si="1"/>
        <v>Sim</v>
      </c>
      <c r="M599" s="11"/>
      <c r="N599" s="7"/>
      <c r="O599" s="7" t="s">
        <v>55</v>
      </c>
      <c r="P599" s="7"/>
      <c r="Q599" s="16" t="s">
        <v>55</v>
      </c>
      <c r="R599" s="16" t="s">
        <v>55</v>
      </c>
      <c r="S599" s="16" t="s">
        <v>55</v>
      </c>
      <c r="T599" s="16" t="s">
        <v>55</v>
      </c>
      <c r="U599" s="16" t="s">
        <v>55</v>
      </c>
      <c r="V599" s="16" t="s">
        <v>184</v>
      </c>
      <c r="W599" s="16"/>
      <c r="X599" s="6"/>
      <c r="Y599" s="6"/>
      <c r="Z599" s="6"/>
    </row>
    <row r="600" ht="29.25" customHeight="1">
      <c r="A600" s="7" t="s">
        <v>2784</v>
      </c>
      <c r="B600" s="7" t="s">
        <v>2785</v>
      </c>
      <c r="C600" s="7" t="s">
        <v>2786</v>
      </c>
      <c r="D600" s="7" t="s">
        <v>76</v>
      </c>
      <c r="E600" s="7" t="s">
        <v>148</v>
      </c>
      <c r="F600" s="7" t="s">
        <v>109</v>
      </c>
      <c r="G600" s="11" t="s">
        <v>55</v>
      </c>
      <c r="H600" s="11" t="s">
        <v>55</v>
      </c>
      <c r="I600" s="11" t="s">
        <v>1899</v>
      </c>
      <c r="J600" s="7" t="s">
        <v>55</v>
      </c>
      <c r="K600" s="11" t="s">
        <v>2787</v>
      </c>
      <c r="L600" s="14" t="str">
        <f t="shared" si="1"/>
        <v>Não</v>
      </c>
      <c r="M600" s="7"/>
      <c r="N600" s="7"/>
      <c r="O600" s="7" t="s">
        <v>55</v>
      </c>
      <c r="P600" s="7"/>
      <c r="Q600" s="16" t="s">
        <v>55</v>
      </c>
      <c r="R600" s="16" t="s">
        <v>55</v>
      </c>
      <c r="S600" s="16" t="s">
        <v>55</v>
      </c>
      <c r="T600" s="16" t="s">
        <v>55</v>
      </c>
      <c r="U600" s="16" t="s">
        <v>55</v>
      </c>
      <c r="V600" s="16" t="s">
        <v>127</v>
      </c>
      <c r="W600" s="16" t="s">
        <v>2788</v>
      </c>
      <c r="X600" s="6"/>
      <c r="Y600" s="6"/>
      <c r="Z600" s="6"/>
    </row>
    <row r="601" ht="30.0" customHeight="1">
      <c r="A601" s="7" t="s">
        <v>2789</v>
      </c>
      <c r="B601" s="7" t="s">
        <v>2790</v>
      </c>
      <c r="C601" s="7" t="s">
        <v>2791</v>
      </c>
      <c r="D601" s="7" t="s">
        <v>76</v>
      </c>
      <c r="E601" s="7" t="s">
        <v>85</v>
      </c>
      <c r="F601" s="7" t="s">
        <v>109</v>
      </c>
      <c r="G601" s="11" t="s">
        <v>55</v>
      </c>
      <c r="H601" s="11" t="s">
        <v>55</v>
      </c>
      <c r="I601" s="11" t="s">
        <v>1899</v>
      </c>
      <c r="J601" s="7" t="s">
        <v>55</v>
      </c>
      <c r="K601" s="11" t="s">
        <v>2792</v>
      </c>
      <c r="L601" s="14" t="str">
        <f t="shared" si="1"/>
        <v>Não</v>
      </c>
      <c r="M601" s="7"/>
      <c r="N601" s="7"/>
      <c r="O601" s="7" t="s">
        <v>55</v>
      </c>
      <c r="P601" s="7"/>
      <c r="Q601" s="16" t="s">
        <v>55</v>
      </c>
      <c r="R601" s="16" t="s">
        <v>55</v>
      </c>
      <c r="S601" s="16" t="s">
        <v>55</v>
      </c>
      <c r="T601" s="16" t="s">
        <v>55</v>
      </c>
      <c r="U601" s="16" t="s">
        <v>55</v>
      </c>
      <c r="V601" s="16" t="s">
        <v>184</v>
      </c>
      <c r="W601" s="16" t="s">
        <v>2793</v>
      </c>
      <c r="X601" s="6"/>
      <c r="Y601" s="6"/>
      <c r="Z601" s="6"/>
    </row>
    <row r="602" ht="15.0" customHeight="1">
      <c r="A602" s="7" t="s">
        <v>2794</v>
      </c>
      <c r="B602" s="7" t="s">
        <v>2795</v>
      </c>
      <c r="C602" s="7" t="s">
        <v>2796</v>
      </c>
      <c r="D602" s="7" t="s">
        <v>76</v>
      </c>
      <c r="E602" s="7" t="s">
        <v>213</v>
      </c>
      <c r="F602" s="7" t="s">
        <v>109</v>
      </c>
      <c r="G602" s="11" t="s">
        <v>55</v>
      </c>
      <c r="H602" s="11" t="s">
        <v>55</v>
      </c>
      <c r="I602" s="11" t="s">
        <v>55</v>
      </c>
      <c r="J602" s="7" t="s">
        <v>55</v>
      </c>
      <c r="K602" s="7"/>
      <c r="L602" s="14" t="str">
        <f t="shared" si="1"/>
        <v>Sim</v>
      </c>
      <c r="M602" s="11"/>
      <c r="N602" s="7"/>
      <c r="O602" s="7" t="s">
        <v>55</v>
      </c>
      <c r="P602" s="7"/>
      <c r="Q602" s="16" t="s">
        <v>55</v>
      </c>
      <c r="R602" s="16" t="s">
        <v>55</v>
      </c>
      <c r="S602" s="16" t="s">
        <v>55</v>
      </c>
      <c r="T602" s="16" t="s">
        <v>55</v>
      </c>
      <c r="U602" s="16" t="s">
        <v>55</v>
      </c>
      <c r="V602" s="16" t="s">
        <v>127</v>
      </c>
      <c r="W602" s="16"/>
      <c r="X602" s="6"/>
      <c r="Y602" s="6"/>
      <c r="Z602" s="6"/>
    </row>
    <row r="603" ht="15.0" customHeight="1">
      <c r="A603" s="7" t="s">
        <v>2797</v>
      </c>
      <c r="B603" s="7" t="s">
        <v>2798</v>
      </c>
      <c r="C603" s="7" t="s">
        <v>2799</v>
      </c>
      <c r="D603" s="7" t="s">
        <v>76</v>
      </c>
      <c r="E603" s="7" t="s">
        <v>300</v>
      </c>
      <c r="F603" s="7" t="s">
        <v>109</v>
      </c>
      <c r="G603" s="11" t="s">
        <v>55</v>
      </c>
      <c r="H603" s="11" t="s">
        <v>55</v>
      </c>
      <c r="I603" s="11" t="s">
        <v>1899</v>
      </c>
      <c r="J603" s="7" t="s">
        <v>55</v>
      </c>
      <c r="K603" s="7"/>
      <c r="L603" s="14" t="str">
        <f t="shared" si="1"/>
        <v>Sim</v>
      </c>
      <c r="M603" s="11"/>
      <c r="N603" s="7"/>
      <c r="O603" s="7" t="s">
        <v>55</v>
      </c>
      <c r="P603" s="7"/>
      <c r="Q603" s="16" t="s">
        <v>55</v>
      </c>
      <c r="R603" s="16" t="s">
        <v>55</v>
      </c>
      <c r="S603" s="16" t="s">
        <v>55</v>
      </c>
      <c r="T603" s="16" t="s">
        <v>55</v>
      </c>
      <c r="U603" s="16" t="s">
        <v>55</v>
      </c>
      <c r="V603" s="16" t="s">
        <v>127</v>
      </c>
      <c r="W603" s="16"/>
      <c r="X603" s="6"/>
      <c r="Y603" s="6"/>
      <c r="Z603" s="6"/>
    </row>
    <row r="604" ht="15.0" customHeight="1">
      <c r="A604" s="7" t="s">
        <v>2800</v>
      </c>
      <c r="B604" s="7" t="s">
        <v>2801</v>
      </c>
      <c r="C604" s="7" t="s">
        <v>2802</v>
      </c>
      <c r="D604" s="7" t="s">
        <v>76</v>
      </c>
      <c r="E604" s="7" t="s">
        <v>213</v>
      </c>
      <c r="F604" s="7" t="s">
        <v>109</v>
      </c>
      <c r="G604" s="11" t="s">
        <v>55</v>
      </c>
      <c r="H604" s="11" t="s">
        <v>55</v>
      </c>
      <c r="I604" s="11" t="s">
        <v>55</v>
      </c>
      <c r="J604" s="7" t="s">
        <v>55</v>
      </c>
      <c r="K604" s="7"/>
      <c r="L604" s="14" t="str">
        <f t="shared" si="1"/>
        <v>Sim</v>
      </c>
      <c r="M604" s="11"/>
      <c r="N604" s="7"/>
      <c r="O604" s="7" t="s">
        <v>55</v>
      </c>
      <c r="P604" s="7"/>
      <c r="Q604" s="16" t="s">
        <v>55</v>
      </c>
      <c r="R604" s="16" t="s">
        <v>55</v>
      </c>
      <c r="S604" s="16" t="s">
        <v>55</v>
      </c>
      <c r="T604" s="16" t="s">
        <v>55</v>
      </c>
      <c r="U604" s="16" t="s">
        <v>55</v>
      </c>
      <c r="V604" s="16" t="s">
        <v>127</v>
      </c>
      <c r="W604" s="16"/>
      <c r="X604" s="6"/>
      <c r="Y604" s="6"/>
      <c r="Z604" s="6"/>
    </row>
    <row r="605" ht="15.0" customHeight="1">
      <c r="A605" s="7" t="s">
        <v>2803</v>
      </c>
      <c r="B605" s="7" t="s">
        <v>2804</v>
      </c>
      <c r="C605" s="7" t="s">
        <v>2805</v>
      </c>
      <c r="D605" s="7" t="s">
        <v>76</v>
      </c>
      <c r="E605" s="7" t="s">
        <v>85</v>
      </c>
      <c r="F605" s="7" t="s">
        <v>109</v>
      </c>
      <c r="G605" s="11" t="s">
        <v>55</v>
      </c>
      <c r="H605" s="11" t="s">
        <v>1899</v>
      </c>
      <c r="I605" s="11" t="s">
        <v>1899</v>
      </c>
      <c r="J605" s="7" t="s">
        <v>55</v>
      </c>
      <c r="K605" s="11" t="s">
        <v>2806</v>
      </c>
      <c r="L605" s="14" t="str">
        <f t="shared" si="1"/>
        <v>Não</v>
      </c>
      <c r="M605" s="7"/>
      <c r="N605" s="7"/>
      <c r="O605" s="7" t="s">
        <v>55</v>
      </c>
      <c r="P605" s="7"/>
      <c r="Q605" s="16" t="s">
        <v>55</v>
      </c>
      <c r="R605" s="16" t="s">
        <v>55</v>
      </c>
      <c r="S605" s="16" t="s">
        <v>55</v>
      </c>
      <c r="T605" s="16" t="s">
        <v>55</v>
      </c>
      <c r="U605" s="16" t="s">
        <v>55</v>
      </c>
      <c r="V605" s="16" t="s">
        <v>127</v>
      </c>
      <c r="W605" s="16" t="s">
        <v>2807</v>
      </c>
      <c r="X605" s="6"/>
      <c r="Y605" s="6"/>
      <c r="Z605" s="6"/>
    </row>
    <row r="606" ht="15.0" customHeight="1">
      <c r="A606" s="7" t="s">
        <v>2808</v>
      </c>
      <c r="B606" s="7" t="s">
        <v>2809</v>
      </c>
      <c r="C606" s="7" t="s">
        <v>2810</v>
      </c>
      <c r="D606" s="7" t="s">
        <v>76</v>
      </c>
      <c r="E606" s="7" t="s">
        <v>85</v>
      </c>
      <c r="F606" s="7" t="s">
        <v>109</v>
      </c>
      <c r="G606" s="11" t="s">
        <v>55</v>
      </c>
      <c r="H606" s="11" t="s">
        <v>1899</v>
      </c>
      <c r="I606" s="11" t="s">
        <v>55</v>
      </c>
      <c r="J606" s="7" t="s">
        <v>55</v>
      </c>
      <c r="K606" s="7"/>
      <c r="L606" s="14" t="str">
        <f t="shared" si="1"/>
        <v>Sim</v>
      </c>
      <c r="M606" s="11"/>
      <c r="N606" s="7"/>
      <c r="O606" s="7" t="s">
        <v>55</v>
      </c>
      <c r="P606" s="7"/>
      <c r="Q606" s="16" t="s">
        <v>55</v>
      </c>
      <c r="R606" s="16" t="s">
        <v>55</v>
      </c>
      <c r="S606" s="16" t="s">
        <v>55</v>
      </c>
      <c r="T606" s="16" t="s">
        <v>55</v>
      </c>
      <c r="U606" s="16" t="s">
        <v>55</v>
      </c>
      <c r="V606" s="16" t="s">
        <v>127</v>
      </c>
      <c r="W606" s="16"/>
      <c r="X606" s="6"/>
      <c r="Y606" s="6"/>
      <c r="Z606" s="6"/>
    </row>
    <row r="607" ht="29.25" customHeight="1">
      <c r="A607" s="7" t="s">
        <v>2811</v>
      </c>
      <c r="B607" s="7" t="s">
        <v>2812</v>
      </c>
      <c r="C607" s="7" t="s">
        <v>2813</v>
      </c>
      <c r="D607" s="7" t="s">
        <v>76</v>
      </c>
      <c r="E607" s="7" t="s">
        <v>136</v>
      </c>
      <c r="F607" s="7" t="s">
        <v>109</v>
      </c>
      <c r="G607" s="11" t="s">
        <v>55</v>
      </c>
      <c r="H607" s="11" t="s">
        <v>55</v>
      </c>
      <c r="I607" s="11" t="s">
        <v>55</v>
      </c>
      <c r="J607" s="7" t="s">
        <v>55</v>
      </c>
      <c r="K607" s="11" t="s">
        <v>2814</v>
      </c>
      <c r="L607" s="14" t="str">
        <f t="shared" si="1"/>
        <v>Não</v>
      </c>
      <c r="M607" s="7"/>
      <c r="N607" s="7"/>
      <c r="O607" s="7" t="s">
        <v>55</v>
      </c>
      <c r="P607" s="7"/>
      <c r="Q607" s="16" t="s">
        <v>55</v>
      </c>
      <c r="R607" s="16" t="s">
        <v>55</v>
      </c>
      <c r="S607" s="16" t="s">
        <v>55</v>
      </c>
      <c r="T607" s="16" t="s">
        <v>55</v>
      </c>
      <c r="U607" s="16" t="s">
        <v>55</v>
      </c>
      <c r="V607" s="16" t="s">
        <v>127</v>
      </c>
      <c r="W607" s="16" t="s">
        <v>2815</v>
      </c>
      <c r="X607" s="6"/>
      <c r="Y607" s="6"/>
      <c r="Z607" s="6"/>
    </row>
    <row r="608" ht="15.0" customHeight="1">
      <c r="A608" s="7" t="s">
        <v>2816</v>
      </c>
      <c r="B608" s="7" t="s">
        <v>2817</v>
      </c>
      <c r="C608" s="7" t="s">
        <v>2818</v>
      </c>
      <c r="D608" s="7" t="s">
        <v>76</v>
      </c>
      <c r="E608" s="7" t="s">
        <v>85</v>
      </c>
      <c r="F608" s="7" t="s">
        <v>109</v>
      </c>
      <c r="G608" s="11" t="s">
        <v>55</v>
      </c>
      <c r="H608" s="11" t="s">
        <v>55</v>
      </c>
      <c r="I608" s="11" t="s">
        <v>1899</v>
      </c>
      <c r="J608" s="7" t="s">
        <v>55</v>
      </c>
      <c r="K608" s="7"/>
      <c r="L608" s="14" t="str">
        <f t="shared" si="1"/>
        <v>Sim</v>
      </c>
      <c r="M608" s="11"/>
      <c r="N608" s="7"/>
      <c r="O608" s="7" t="s">
        <v>55</v>
      </c>
      <c r="P608" s="7"/>
      <c r="Q608" s="16" t="s">
        <v>55</v>
      </c>
      <c r="R608" s="16" t="s">
        <v>55</v>
      </c>
      <c r="S608" s="16" t="s">
        <v>55</v>
      </c>
      <c r="T608" s="16" t="s">
        <v>55</v>
      </c>
      <c r="U608" s="16" t="s">
        <v>55</v>
      </c>
      <c r="V608" s="16" t="s">
        <v>127</v>
      </c>
      <c r="W608" s="16"/>
      <c r="X608" s="6"/>
      <c r="Y608" s="6"/>
      <c r="Z608" s="6"/>
    </row>
    <row r="609" ht="15.0" customHeight="1">
      <c r="A609" s="7" t="s">
        <v>2819</v>
      </c>
      <c r="B609" s="7" t="s">
        <v>2820</v>
      </c>
      <c r="C609" s="7" t="s">
        <v>2821</v>
      </c>
      <c r="D609" s="7" t="s">
        <v>76</v>
      </c>
      <c r="E609" s="7" t="s">
        <v>250</v>
      </c>
      <c r="F609" s="7" t="s">
        <v>109</v>
      </c>
      <c r="G609" s="11" t="s">
        <v>55</v>
      </c>
      <c r="H609" s="11" t="s">
        <v>55</v>
      </c>
      <c r="I609" s="11" t="s">
        <v>1899</v>
      </c>
      <c r="J609" s="7" t="s">
        <v>55</v>
      </c>
      <c r="K609" s="7"/>
      <c r="L609" s="14" t="str">
        <f t="shared" si="1"/>
        <v>Sim</v>
      </c>
      <c r="M609" s="11"/>
      <c r="N609" s="7"/>
      <c r="O609" s="7" t="s">
        <v>55</v>
      </c>
      <c r="P609" s="7"/>
      <c r="Q609" s="16" t="s">
        <v>55</v>
      </c>
      <c r="R609" s="16" t="s">
        <v>55</v>
      </c>
      <c r="S609" s="16" t="s">
        <v>55</v>
      </c>
      <c r="T609" s="16" t="s">
        <v>55</v>
      </c>
      <c r="U609" s="16" t="s">
        <v>55</v>
      </c>
      <c r="V609" s="16" t="s">
        <v>127</v>
      </c>
      <c r="W609" s="16"/>
      <c r="X609" s="6"/>
      <c r="Y609" s="6"/>
      <c r="Z609" s="6"/>
    </row>
    <row r="610" ht="15.0" customHeight="1">
      <c r="A610" s="7" t="s">
        <v>2822</v>
      </c>
      <c r="B610" s="7" t="s">
        <v>2823</v>
      </c>
      <c r="C610" s="7" t="s">
        <v>2824</v>
      </c>
      <c r="D610" s="7" t="s">
        <v>76</v>
      </c>
      <c r="E610" s="7" t="s">
        <v>85</v>
      </c>
      <c r="F610" s="7" t="s">
        <v>109</v>
      </c>
      <c r="G610" s="11" t="s">
        <v>55</v>
      </c>
      <c r="H610" s="11" t="s">
        <v>55</v>
      </c>
      <c r="I610" s="11" t="s">
        <v>55</v>
      </c>
      <c r="J610" s="7" t="s">
        <v>55</v>
      </c>
      <c r="K610" s="7"/>
      <c r="L610" s="14" t="str">
        <f t="shared" si="1"/>
        <v>Sim</v>
      </c>
      <c r="M610" s="11"/>
      <c r="N610" s="7"/>
      <c r="O610" s="7" t="s">
        <v>55</v>
      </c>
      <c r="P610" s="7"/>
      <c r="Q610" s="16" t="s">
        <v>55</v>
      </c>
      <c r="R610" s="16" t="s">
        <v>55</v>
      </c>
      <c r="S610" s="16" t="s">
        <v>55</v>
      </c>
      <c r="T610" s="16" t="s">
        <v>55</v>
      </c>
      <c r="U610" s="16" t="s">
        <v>55</v>
      </c>
      <c r="V610" s="16" t="s">
        <v>127</v>
      </c>
      <c r="W610" s="16"/>
      <c r="X610" s="6"/>
      <c r="Y610" s="6"/>
      <c r="Z610" s="6"/>
    </row>
    <row r="611" ht="15.0" customHeight="1">
      <c r="A611" s="7" t="s">
        <v>2825</v>
      </c>
      <c r="B611" s="7" t="s">
        <v>2826</v>
      </c>
      <c r="C611" s="7" t="s">
        <v>2827</v>
      </c>
      <c r="D611" s="7" t="s">
        <v>76</v>
      </c>
      <c r="E611" s="7" t="s">
        <v>180</v>
      </c>
      <c r="F611" s="7" t="s">
        <v>109</v>
      </c>
      <c r="G611" s="11" t="s">
        <v>55</v>
      </c>
      <c r="H611" s="11" t="s">
        <v>55</v>
      </c>
      <c r="I611" s="11" t="s">
        <v>55</v>
      </c>
      <c r="J611" s="7" t="s">
        <v>55</v>
      </c>
      <c r="K611" s="7"/>
      <c r="L611" s="14" t="str">
        <f t="shared" si="1"/>
        <v>Sim</v>
      </c>
      <c r="M611" s="11"/>
      <c r="N611" s="7"/>
      <c r="O611" s="7" t="s">
        <v>55</v>
      </c>
      <c r="P611" s="7"/>
      <c r="Q611" s="16" t="s">
        <v>55</v>
      </c>
      <c r="R611" s="16" t="s">
        <v>55</v>
      </c>
      <c r="S611" s="16" t="s">
        <v>55</v>
      </c>
      <c r="T611" s="16" t="s">
        <v>55</v>
      </c>
      <c r="U611" s="16" t="s">
        <v>55</v>
      </c>
      <c r="V611" s="16" t="s">
        <v>184</v>
      </c>
      <c r="W611" s="16"/>
      <c r="X611" s="6"/>
      <c r="Y611" s="6"/>
      <c r="Z611" s="6"/>
    </row>
    <row r="612" ht="15.0" customHeight="1">
      <c r="A612" s="7" t="s">
        <v>2828</v>
      </c>
      <c r="B612" s="7" t="s">
        <v>2829</v>
      </c>
      <c r="C612" s="7" t="s">
        <v>2830</v>
      </c>
      <c r="D612" s="7" t="s">
        <v>93</v>
      </c>
      <c r="E612" s="7" t="s">
        <v>85</v>
      </c>
      <c r="F612" s="7" t="s">
        <v>109</v>
      </c>
      <c r="G612" s="11" t="s">
        <v>55</v>
      </c>
      <c r="H612" s="11" t="s">
        <v>55</v>
      </c>
      <c r="I612" s="11" t="s">
        <v>1899</v>
      </c>
      <c r="J612" s="7" t="s">
        <v>55</v>
      </c>
      <c r="K612" s="7"/>
      <c r="L612" s="14" t="str">
        <f t="shared" si="1"/>
        <v>Sim</v>
      </c>
      <c r="M612" s="11"/>
      <c r="N612" s="7"/>
      <c r="O612" s="7" t="s">
        <v>55</v>
      </c>
      <c r="P612" s="7"/>
      <c r="Q612" s="16" t="s">
        <v>55</v>
      </c>
      <c r="R612" s="16" t="s">
        <v>55</v>
      </c>
      <c r="S612" s="16" t="s">
        <v>55</v>
      </c>
      <c r="T612" s="16" t="s">
        <v>55</v>
      </c>
      <c r="U612" s="16" t="s">
        <v>55</v>
      </c>
      <c r="V612" s="16" t="s">
        <v>127</v>
      </c>
      <c r="W612" s="16"/>
      <c r="X612" s="6"/>
      <c r="Y612" s="6"/>
      <c r="Z612" s="6"/>
    </row>
    <row r="613" ht="15.0" customHeight="1">
      <c r="A613" s="7" t="s">
        <v>2831</v>
      </c>
      <c r="B613" s="7" t="s">
        <v>2832</v>
      </c>
      <c r="C613" s="7" t="s">
        <v>2833</v>
      </c>
      <c r="D613" s="7" t="s">
        <v>93</v>
      </c>
      <c r="E613" s="7" t="s">
        <v>138</v>
      </c>
      <c r="F613" s="7" t="s">
        <v>109</v>
      </c>
      <c r="G613" s="11" t="s">
        <v>1899</v>
      </c>
      <c r="H613" s="11" t="s">
        <v>55</v>
      </c>
      <c r="I613" s="11" t="s">
        <v>55</v>
      </c>
      <c r="J613" s="7" t="s">
        <v>55</v>
      </c>
      <c r="K613" s="11" t="s">
        <v>2834</v>
      </c>
      <c r="L613" s="14" t="str">
        <f t="shared" si="1"/>
        <v>Não</v>
      </c>
      <c r="M613" s="11"/>
      <c r="N613" s="7"/>
      <c r="O613" s="7" t="s">
        <v>55</v>
      </c>
      <c r="P613" s="7"/>
      <c r="Q613" s="16" t="s">
        <v>55</v>
      </c>
      <c r="R613" s="16" t="s">
        <v>55</v>
      </c>
      <c r="S613" s="16" t="s">
        <v>55</v>
      </c>
      <c r="T613" s="16" t="s">
        <v>55</v>
      </c>
      <c r="U613" s="16" t="s">
        <v>55</v>
      </c>
      <c r="V613" s="16" t="s">
        <v>127</v>
      </c>
      <c r="W613" s="16" t="s">
        <v>2835</v>
      </c>
      <c r="X613" s="6"/>
      <c r="Y613" s="6"/>
      <c r="Z613" s="6"/>
    </row>
    <row r="614" ht="15.0" customHeight="1">
      <c r="A614" s="7" t="s">
        <v>2836</v>
      </c>
      <c r="B614" s="7" t="s">
        <v>2837</v>
      </c>
      <c r="C614" s="7" t="s">
        <v>2838</v>
      </c>
      <c r="D614" s="7" t="s">
        <v>93</v>
      </c>
      <c r="E614" s="7" t="s">
        <v>114</v>
      </c>
      <c r="F614" s="7" t="s">
        <v>109</v>
      </c>
      <c r="G614" s="11" t="s">
        <v>55</v>
      </c>
      <c r="H614" s="11" t="s">
        <v>55</v>
      </c>
      <c r="I614" s="11" t="s">
        <v>1899</v>
      </c>
      <c r="J614" s="7" t="s">
        <v>55</v>
      </c>
      <c r="K614" s="7"/>
      <c r="L614" s="14" t="str">
        <f t="shared" si="1"/>
        <v>Sim</v>
      </c>
      <c r="M614" s="11"/>
      <c r="N614" s="7"/>
      <c r="O614" s="7" t="s">
        <v>55</v>
      </c>
      <c r="P614" s="7"/>
      <c r="Q614" s="16" t="s">
        <v>55</v>
      </c>
      <c r="R614" s="16" t="s">
        <v>55</v>
      </c>
      <c r="S614" s="16" t="s">
        <v>55</v>
      </c>
      <c r="T614" s="16" t="s">
        <v>55</v>
      </c>
      <c r="U614" s="16" t="s">
        <v>55</v>
      </c>
      <c r="V614" s="16" t="s">
        <v>127</v>
      </c>
      <c r="W614" s="16"/>
      <c r="X614" s="6"/>
      <c r="Y614" s="6"/>
      <c r="Z614" s="6"/>
    </row>
    <row r="615" ht="15.0" customHeight="1">
      <c r="A615" s="7" t="s">
        <v>2839</v>
      </c>
      <c r="B615" s="7" t="s">
        <v>2840</v>
      </c>
      <c r="C615" s="7" t="s">
        <v>2841</v>
      </c>
      <c r="D615" s="7" t="s">
        <v>93</v>
      </c>
      <c r="E615" s="7" t="s">
        <v>148</v>
      </c>
      <c r="F615" s="7" t="s">
        <v>109</v>
      </c>
      <c r="G615" s="11" t="s">
        <v>55</v>
      </c>
      <c r="H615" s="11" t="s">
        <v>55</v>
      </c>
      <c r="I615" s="11" t="s">
        <v>1899</v>
      </c>
      <c r="J615" s="7" t="s">
        <v>55</v>
      </c>
      <c r="K615" s="11" t="s">
        <v>2842</v>
      </c>
      <c r="L615" s="14" t="str">
        <f t="shared" si="1"/>
        <v>Não</v>
      </c>
      <c r="M615" s="7"/>
      <c r="N615" s="7"/>
      <c r="O615" s="7" t="s">
        <v>55</v>
      </c>
      <c r="P615" s="7"/>
      <c r="Q615" s="16" t="s">
        <v>55</v>
      </c>
      <c r="R615" s="16" t="s">
        <v>55</v>
      </c>
      <c r="S615" s="16" t="s">
        <v>55</v>
      </c>
      <c r="T615" s="16" t="s">
        <v>55</v>
      </c>
      <c r="U615" s="16" t="s">
        <v>55</v>
      </c>
      <c r="V615" s="16" t="s">
        <v>127</v>
      </c>
      <c r="W615" s="16" t="s">
        <v>2843</v>
      </c>
      <c r="X615" s="6"/>
      <c r="Y615" s="6"/>
      <c r="Z615" s="6"/>
    </row>
    <row r="616" ht="15.0" customHeight="1">
      <c r="A616" s="7" t="s">
        <v>2844</v>
      </c>
      <c r="B616" s="7" t="s">
        <v>2845</v>
      </c>
      <c r="C616" s="7" t="s">
        <v>2846</v>
      </c>
      <c r="D616" s="7" t="s">
        <v>93</v>
      </c>
      <c r="E616" s="7" t="s">
        <v>286</v>
      </c>
      <c r="F616" s="7" t="s">
        <v>109</v>
      </c>
      <c r="G616" s="11" t="s">
        <v>55</v>
      </c>
      <c r="H616" s="11" t="s">
        <v>55</v>
      </c>
      <c r="I616" s="11" t="s">
        <v>55</v>
      </c>
      <c r="J616" s="7" t="s">
        <v>55</v>
      </c>
      <c r="K616" s="7"/>
      <c r="L616" s="14" t="str">
        <f t="shared" si="1"/>
        <v>Sim</v>
      </c>
      <c r="M616" s="11"/>
      <c r="N616" s="7"/>
      <c r="O616" s="7" t="s">
        <v>55</v>
      </c>
      <c r="P616" s="7"/>
      <c r="Q616" s="16" t="s">
        <v>55</v>
      </c>
      <c r="R616" s="16" t="s">
        <v>55</v>
      </c>
      <c r="S616" s="16" t="s">
        <v>55</v>
      </c>
      <c r="T616" s="16" t="s">
        <v>55</v>
      </c>
      <c r="U616" s="16" t="s">
        <v>55</v>
      </c>
      <c r="V616" s="16" t="s">
        <v>127</v>
      </c>
      <c r="W616" s="16"/>
      <c r="X616" s="6"/>
      <c r="Y616" s="6"/>
      <c r="Z616" s="6"/>
    </row>
    <row r="617" ht="31.5" customHeight="1">
      <c r="A617" s="7" t="s">
        <v>2847</v>
      </c>
      <c r="B617" s="7" t="s">
        <v>2848</v>
      </c>
      <c r="C617" s="7" t="s">
        <v>2849</v>
      </c>
      <c r="D617" s="7" t="s">
        <v>93</v>
      </c>
      <c r="E617" s="7" t="s">
        <v>148</v>
      </c>
      <c r="F617" s="7" t="s">
        <v>109</v>
      </c>
      <c r="G617" s="11" t="s">
        <v>55</v>
      </c>
      <c r="H617" s="11" t="s">
        <v>55</v>
      </c>
      <c r="I617" s="11" t="s">
        <v>55</v>
      </c>
      <c r="J617" s="7" t="s">
        <v>55</v>
      </c>
      <c r="K617" s="11" t="s">
        <v>2850</v>
      </c>
      <c r="L617" s="14" t="str">
        <f t="shared" si="1"/>
        <v>Não</v>
      </c>
      <c r="M617" s="7"/>
      <c r="N617" s="7"/>
      <c r="O617" s="7" t="s">
        <v>55</v>
      </c>
      <c r="P617" s="7"/>
      <c r="Q617" s="16" t="s">
        <v>55</v>
      </c>
      <c r="R617" s="16" t="s">
        <v>55</v>
      </c>
      <c r="S617" s="16" t="s">
        <v>55</v>
      </c>
      <c r="T617" s="16" t="s">
        <v>55</v>
      </c>
      <c r="U617" s="16" t="s">
        <v>55</v>
      </c>
      <c r="V617" s="16" t="s">
        <v>127</v>
      </c>
      <c r="W617" s="16" t="s">
        <v>2851</v>
      </c>
      <c r="X617" s="6"/>
      <c r="Y617" s="6"/>
      <c r="Z617" s="6"/>
    </row>
    <row r="618" ht="27.75" customHeight="1">
      <c r="A618" s="7" t="s">
        <v>2852</v>
      </c>
      <c r="B618" s="7" t="s">
        <v>2853</v>
      </c>
      <c r="C618" s="7" t="s">
        <v>2854</v>
      </c>
      <c r="D618" s="7" t="s">
        <v>93</v>
      </c>
      <c r="E618" s="7" t="s">
        <v>148</v>
      </c>
      <c r="F618" s="7" t="s">
        <v>109</v>
      </c>
      <c r="G618" s="11" t="s">
        <v>55</v>
      </c>
      <c r="H618" s="11" t="s">
        <v>55</v>
      </c>
      <c r="I618" s="11" t="s">
        <v>1899</v>
      </c>
      <c r="J618" s="7" t="s">
        <v>55</v>
      </c>
      <c r="K618" s="11" t="s">
        <v>2855</v>
      </c>
      <c r="L618" s="14" t="str">
        <f t="shared" si="1"/>
        <v>Não</v>
      </c>
      <c r="M618" s="7"/>
      <c r="N618" s="7"/>
      <c r="O618" s="7" t="s">
        <v>55</v>
      </c>
      <c r="P618" s="7"/>
      <c r="Q618" s="16" t="s">
        <v>55</v>
      </c>
      <c r="R618" s="16" t="s">
        <v>55</v>
      </c>
      <c r="S618" s="16" t="s">
        <v>55</v>
      </c>
      <c r="T618" s="16" t="s">
        <v>55</v>
      </c>
      <c r="U618" s="16" t="s">
        <v>55</v>
      </c>
      <c r="V618" s="16" t="s">
        <v>127</v>
      </c>
      <c r="W618" s="16" t="s">
        <v>2856</v>
      </c>
      <c r="X618" s="6"/>
      <c r="Y618" s="6"/>
      <c r="Z618" s="6"/>
    </row>
    <row r="619" ht="15.0" customHeight="1">
      <c r="A619" s="7" t="s">
        <v>2857</v>
      </c>
      <c r="B619" s="7" t="s">
        <v>2777</v>
      </c>
      <c r="C619" s="7" t="s">
        <v>2858</v>
      </c>
      <c r="D619" s="7" t="s">
        <v>93</v>
      </c>
      <c r="E619" s="7" t="s">
        <v>85</v>
      </c>
      <c r="F619" s="7" t="s">
        <v>109</v>
      </c>
      <c r="G619" s="11" t="s">
        <v>55</v>
      </c>
      <c r="H619" s="11" t="s">
        <v>55</v>
      </c>
      <c r="I619" s="11" t="s">
        <v>1899</v>
      </c>
      <c r="J619" s="11" t="s">
        <v>1899</v>
      </c>
      <c r="K619" s="11" t="s">
        <v>2859</v>
      </c>
      <c r="L619" s="14" t="str">
        <f t="shared" si="1"/>
        <v>Não</v>
      </c>
      <c r="M619" s="7"/>
      <c r="N619" s="7"/>
      <c r="O619" s="7" t="s">
        <v>55</v>
      </c>
      <c r="P619" s="7"/>
      <c r="Q619" s="16" t="s">
        <v>55</v>
      </c>
      <c r="R619" s="16" t="s">
        <v>55</v>
      </c>
      <c r="S619" s="16" t="s">
        <v>55</v>
      </c>
      <c r="T619" s="16" t="s">
        <v>55</v>
      </c>
      <c r="U619" s="16" t="s">
        <v>55</v>
      </c>
      <c r="V619" s="16" t="s">
        <v>127</v>
      </c>
      <c r="W619" s="16" t="s">
        <v>2860</v>
      </c>
      <c r="X619" s="6"/>
      <c r="Y619" s="6"/>
      <c r="Z619" s="6"/>
    </row>
    <row r="620" ht="15.0" customHeight="1">
      <c r="A620" s="7" t="s">
        <v>2861</v>
      </c>
      <c r="B620" s="7" t="s">
        <v>2862</v>
      </c>
      <c r="C620" s="7" t="s">
        <v>2863</v>
      </c>
      <c r="D620" s="7" t="s">
        <v>93</v>
      </c>
      <c r="E620" s="7" t="s">
        <v>259</v>
      </c>
      <c r="F620" s="7" t="s">
        <v>109</v>
      </c>
      <c r="G620" s="11" t="s">
        <v>55</v>
      </c>
      <c r="H620" s="11" t="s">
        <v>55</v>
      </c>
      <c r="I620" s="11" t="s">
        <v>55</v>
      </c>
      <c r="J620" s="7" t="s">
        <v>55</v>
      </c>
      <c r="K620" s="7"/>
      <c r="L620" s="14" t="str">
        <f t="shared" si="1"/>
        <v>Sim</v>
      </c>
      <c r="M620" s="11"/>
      <c r="N620" s="7"/>
      <c r="O620" s="7" t="s">
        <v>55</v>
      </c>
      <c r="P620" s="7"/>
      <c r="Q620" s="16" t="s">
        <v>55</v>
      </c>
      <c r="R620" s="16" t="s">
        <v>55</v>
      </c>
      <c r="S620" s="16" t="s">
        <v>55</v>
      </c>
      <c r="T620" s="16" t="s">
        <v>55</v>
      </c>
      <c r="U620" s="16" t="s">
        <v>55</v>
      </c>
      <c r="V620" s="16" t="s">
        <v>127</v>
      </c>
      <c r="W620" s="16"/>
      <c r="X620" s="6"/>
      <c r="Y620" s="6"/>
      <c r="Z620" s="6"/>
    </row>
    <row r="621" ht="15.0" customHeight="1">
      <c r="A621" s="7" t="s">
        <v>2864</v>
      </c>
      <c r="B621" s="7" t="s">
        <v>2865</v>
      </c>
      <c r="C621" s="7" t="s">
        <v>2866</v>
      </c>
      <c r="D621" s="7" t="s">
        <v>93</v>
      </c>
      <c r="E621" s="7" t="s">
        <v>306</v>
      </c>
      <c r="F621" s="7" t="s">
        <v>109</v>
      </c>
      <c r="G621" s="11" t="s">
        <v>55</v>
      </c>
      <c r="H621" s="11" t="s">
        <v>55</v>
      </c>
      <c r="I621" s="11" t="s">
        <v>1899</v>
      </c>
      <c r="J621" s="7" t="s">
        <v>55</v>
      </c>
      <c r="K621" s="11" t="s">
        <v>2867</v>
      </c>
      <c r="L621" s="14" t="str">
        <f t="shared" si="1"/>
        <v>Não</v>
      </c>
      <c r="M621" s="7"/>
      <c r="N621" s="7"/>
      <c r="O621" s="7" t="s">
        <v>55</v>
      </c>
      <c r="P621" s="7"/>
      <c r="Q621" s="16" t="s">
        <v>55</v>
      </c>
      <c r="R621" s="16" t="s">
        <v>55</v>
      </c>
      <c r="S621" s="16" t="s">
        <v>55</v>
      </c>
      <c r="T621" s="16" t="s">
        <v>55</v>
      </c>
      <c r="U621" s="16" t="s">
        <v>55</v>
      </c>
      <c r="V621" s="16" t="s">
        <v>127</v>
      </c>
      <c r="W621" s="16" t="s">
        <v>2868</v>
      </c>
      <c r="X621" s="6"/>
      <c r="Y621" s="6"/>
      <c r="Z621" s="6"/>
    </row>
    <row r="622" ht="15.0" customHeight="1">
      <c r="A622" s="7" t="s">
        <v>2869</v>
      </c>
      <c r="B622" s="7" t="s">
        <v>2870</v>
      </c>
      <c r="C622" s="7" t="s">
        <v>2871</v>
      </c>
      <c r="D622" s="7" t="s">
        <v>93</v>
      </c>
      <c r="E622" s="7" t="s">
        <v>80</v>
      </c>
      <c r="F622" s="7" t="s">
        <v>109</v>
      </c>
      <c r="G622" s="11" t="s">
        <v>55</v>
      </c>
      <c r="H622" s="11" t="s">
        <v>55</v>
      </c>
      <c r="I622" s="11" t="s">
        <v>55</v>
      </c>
      <c r="J622" s="7" t="s">
        <v>55</v>
      </c>
      <c r="K622" s="11" t="s">
        <v>2872</v>
      </c>
      <c r="L622" s="14" t="str">
        <f t="shared" si="1"/>
        <v>Não</v>
      </c>
      <c r="M622" s="7"/>
      <c r="N622" s="7"/>
      <c r="O622" s="7" t="s">
        <v>55</v>
      </c>
      <c r="P622" s="7"/>
      <c r="Q622" s="16" t="s">
        <v>55</v>
      </c>
      <c r="R622" s="16" t="s">
        <v>55</v>
      </c>
      <c r="S622" s="16" t="s">
        <v>55</v>
      </c>
      <c r="T622" s="16" t="s">
        <v>55</v>
      </c>
      <c r="U622" s="16" t="s">
        <v>55</v>
      </c>
      <c r="V622" s="16" t="s">
        <v>127</v>
      </c>
      <c r="W622" s="16" t="s">
        <v>2873</v>
      </c>
      <c r="X622" s="6"/>
      <c r="Y622" s="6"/>
      <c r="Z622" s="6"/>
    </row>
    <row r="623" ht="15.0" customHeight="1">
      <c r="A623" s="7" t="s">
        <v>2874</v>
      </c>
      <c r="B623" s="7" t="s">
        <v>2875</v>
      </c>
      <c r="C623" s="7" t="s">
        <v>2876</v>
      </c>
      <c r="D623" s="7" t="s">
        <v>93</v>
      </c>
      <c r="E623" s="7" t="s">
        <v>148</v>
      </c>
      <c r="F623" s="7" t="s">
        <v>109</v>
      </c>
      <c r="G623" s="11" t="s">
        <v>55</v>
      </c>
      <c r="H623" s="11" t="s">
        <v>1899</v>
      </c>
      <c r="I623" s="11" t="s">
        <v>55</v>
      </c>
      <c r="J623" s="7" t="s">
        <v>55</v>
      </c>
      <c r="K623" s="11" t="s">
        <v>2877</v>
      </c>
      <c r="L623" s="14" t="str">
        <f t="shared" si="1"/>
        <v>Não</v>
      </c>
      <c r="M623" s="7"/>
      <c r="N623" s="7"/>
      <c r="O623" s="7" t="s">
        <v>55</v>
      </c>
      <c r="P623" s="7"/>
      <c r="Q623" s="16" t="s">
        <v>55</v>
      </c>
      <c r="R623" s="16" t="s">
        <v>55</v>
      </c>
      <c r="S623" s="16" t="s">
        <v>55</v>
      </c>
      <c r="T623" s="16" t="s">
        <v>55</v>
      </c>
      <c r="U623" s="16" t="s">
        <v>55</v>
      </c>
      <c r="V623" s="16" t="s">
        <v>127</v>
      </c>
      <c r="W623" s="16" t="s">
        <v>2878</v>
      </c>
      <c r="X623" s="6"/>
      <c r="Y623" s="6"/>
      <c r="Z623" s="6"/>
    </row>
    <row r="624" ht="15.0" customHeight="1">
      <c r="A624" s="7" t="s">
        <v>2879</v>
      </c>
      <c r="B624" s="7" t="s">
        <v>2880</v>
      </c>
      <c r="C624" s="7" t="s">
        <v>2881</v>
      </c>
      <c r="D624" s="7" t="s">
        <v>93</v>
      </c>
      <c r="E624" s="7" t="s">
        <v>114</v>
      </c>
      <c r="F624" s="7" t="s">
        <v>109</v>
      </c>
      <c r="G624" s="11" t="s">
        <v>55</v>
      </c>
      <c r="H624" s="11" t="s">
        <v>55</v>
      </c>
      <c r="I624" s="11" t="s">
        <v>1899</v>
      </c>
      <c r="J624" s="7" t="s">
        <v>55</v>
      </c>
      <c r="K624" s="11" t="s">
        <v>2877</v>
      </c>
      <c r="L624" s="14" t="str">
        <f t="shared" si="1"/>
        <v>Não</v>
      </c>
      <c r="M624" s="7"/>
      <c r="N624" s="7"/>
      <c r="O624" s="7" t="s">
        <v>55</v>
      </c>
      <c r="P624" s="7"/>
      <c r="Q624" s="16" t="s">
        <v>55</v>
      </c>
      <c r="R624" s="16" t="s">
        <v>55</v>
      </c>
      <c r="S624" s="16" t="s">
        <v>55</v>
      </c>
      <c r="T624" s="16" t="s">
        <v>55</v>
      </c>
      <c r="U624" s="16" t="s">
        <v>55</v>
      </c>
      <c r="V624" s="16" t="s">
        <v>127</v>
      </c>
      <c r="W624" s="16" t="s">
        <v>2882</v>
      </c>
      <c r="X624" s="6"/>
      <c r="Y624" s="6"/>
      <c r="Z624" s="6"/>
    </row>
    <row r="625" ht="15.0" customHeight="1">
      <c r="A625" s="7" t="s">
        <v>2883</v>
      </c>
      <c r="B625" s="7" t="s">
        <v>2884</v>
      </c>
      <c r="C625" s="7" t="s">
        <v>2885</v>
      </c>
      <c r="D625" s="7" t="s">
        <v>93</v>
      </c>
      <c r="E625" s="7" t="s">
        <v>80</v>
      </c>
      <c r="F625" s="7" t="s">
        <v>109</v>
      </c>
      <c r="G625" s="11" t="s">
        <v>1899</v>
      </c>
      <c r="H625" s="11" t="s">
        <v>1899</v>
      </c>
      <c r="I625" s="11" t="s">
        <v>55</v>
      </c>
      <c r="J625" s="7" t="s">
        <v>55</v>
      </c>
      <c r="K625" s="11" t="s">
        <v>2886</v>
      </c>
      <c r="L625" s="14" t="str">
        <f t="shared" si="1"/>
        <v>Não</v>
      </c>
      <c r="M625" s="7"/>
      <c r="N625" s="7"/>
      <c r="O625" s="7" t="s">
        <v>55</v>
      </c>
      <c r="P625" s="7"/>
      <c r="Q625" s="16" t="s">
        <v>55</v>
      </c>
      <c r="R625" s="16" t="s">
        <v>55</v>
      </c>
      <c r="S625" s="16" t="s">
        <v>55</v>
      </c>
      <c r="T625" s="16" t="s">
        <v>55</v>
      </c>
      <c r="U625" s="16" t="s">
        <v>55</v>
      </c>
      <c r="V625" s="16" t="s">
        <v>127</v>
      </c>
      <c r="W625" s="16" t="s">
        <v>2887</v>
      </c>
      <c r="X625" s="6"/>
      <c r="Y625" s="6"/>
      <c r="Z625" s="6"/>
    </row>
    <row r="626" ht="30.0" customHeight="1">
      <c r="A626" s="7" t="s">
        <v>2888</v>
      </c>
      <c r="B626" s="7" t="s">
        <v>2889</v>
      </c>
      <c r="C626" s="7" t="s">
        <v>2890</v>
      </c>
      <c r="D626" s="7" t="s">
        <v>93</v>
      </c>
      <c r="E626" s="7" t="s">
        <v>85</v>
      </c>
      <c r="F626" s="7" t="s">
        <v>109</v>
      </c>
      <c r="G626" s="11" t="s">
        <v>55</v>
      </c>
      <c r="H626" s="11" t="s">
        <v>1899</v>
      </c>
      <c r="I626" s="11" t="s">
        <v>1899</v>
      </c>
      <c r="J626" s="7" t="s">
        <v>55</v>
      </c>
      <c r="K626" s="11" t="s">
        <v>2891</v>
      </c>
      <c r="L626" s="14" t="str">
        <f t="shared" si="1"/>
        <v>Não</v>
      </c>
      <c r="M626" s="7"/>
      <c r="N626" s="7"/>
      <c r="O626" s="7" t="s">
        <v>55</v>
      </c>
      <c r="P626" s="7"/>
      <c r="Q626" s="16" t="s">
        <v>55</v>
      </c>
      <c r="R626" s="16" t="s">
        <v>55</v>
      </c>
      <c r="S626" s="16" t="s">
        <v>55</v>
      </c>
      <c r="T626" s="16" t="s">
        <v>55</v>
      </c>
      <c r="U626" s="16" t="s">
        <v>55</v>
      </c>
      <c r="V626" s="16" t="s">
        <v>127</v>
      </c>
      <c r="W626" s="16" t="s">
        <v>2892</v>
      </c>
      <c r="X626" s="6"/>
      <c r="Y626" s="6"/>
      <c r="Z626" s="6"/>
    </row>
    <row r="627" ht="15.0" customHeight="1">
      <c r="A627" s="7" t="s">
        <v>2893</v>
      </c>
      <c r="B627" s="7" t="s">
        <v>2894</v>
      </c>
      <c r="C627" s="7" t="s">
        <v>2895</v>
      </c>
      <c r="D627" s="7" t="s">
        <v>93</v>
      </c>
      <c r="E627" s="7" t="s">
        <v>136</v>
      </c>
      <c r="F627" s="7" t="s">
        <v>109</v>
      </c>
      <c r="G627" s="11" t="s">
        <v>55</v>
      </c>
      <c r="H627" s="11" t="s">
        <v>55</v>
      </c>
      <c r="I627" s="11" t="s">
        <v>55</v>
      </c>
      <c r="J627" s="7" t="s">
        <v>55</v>
      </c>
      <c r="K627" s="7"/>
      <c r="L627" s="14" t="str">
        <f t="shared" si="1"/>
        <v>Sim</v>
      </c>
      <c r="M627" s="11"/>
      <c r="N627" s="7"/>
      <c r="O627" s="7" t="s">
        <v>55</v>
      </c>
      <c r="P627" s="7"/>
      <c r="Q627" s="16" t="s">
        <v>55</v>
      </c>
      <c r="R627" s="16" t="s">
        <v>55</v>
      </c>
      <c r="S627" s="16" t="s">
        <v>55</v>
      </c>
      <c r="T627" s="16" t="s">
        <v>55</v>
      </c>
      <c r="U627" s="16" t="s">
        <v>55</v>
      </c>
      <c r="V627" s="16" t="s">
        <v>184</v>
      </c>
      <c r="W627" s="16"/>
      <c r="X627" s="6"/>
      <c r="Y627" s="6"/>
      <c r="Z627" s="6"/>
    </row>
    <row r="628" ht="15.0" customHeight="1">
      <c r="A628" s="7" t="s">
        <v>2896</v>
      </c>
      <c r="B628" s="7" t="s">
        <v>2897</v>
      </c>
      <c r="C628" s="7" t="s">
        <v>2898</v>
      </c>
      <c r="D628" s="7" t="s">
        <v>93</v>
      </c>
      <c r="E628" s="7" t="s">
        <v>328</v>
      </c>
      <c r="F628" s="7" t="s">
        <v>109</v>
      </c>
      <c r="G628" s="11" t="s">
        <v>55</v>
      </c>
      <c r="H628" s="11" t="s">
        <v>55</v>
      </c>
      <c r="I628" s="11" t="s">
        <v>57</v>
      </c>
      <c r="J628" s="7" t="s">
        <v>57</v>
      </c>
      <c r="K628" s="7"/>
      <c r="L628" s="14" t="str">
        <f t="shared" si="1"/>
        <v>Não</v>
      </c>
      <c r="M628" s="7"/>
      <c r="N628" s="7"/>
      <c r="O628" s="7" t="s">
        <v>55</v>
      </c>
      <c r="P628" s="7"/>
      <c r="Q628" s="16" t="s">
        <v>55</v>
      </c>
      <c r="R628" s="16" t="s">
        <v>55</v>
      </c>
      <c r="S628" s="16" t="s">
        <v>55</v>
      </c>
      <c r="T628" s="16" t="s">
        <v>57</v>
      </c>
      <c r="U628" s="16" t="s">
        <v>57</v>
      </c>
      <c r="V628" s="16" t="s">
        <v>1747</v>
      </c>
      <c r="W628" s="16"/>
      <c r="X628" s="6"/>
      <c r="Y628" s="6"/>
      <c r="Z628" s="6"/>
    </row>
    <row r="629" ht="15.0" customHeight="1">
      <c r="A629" s="7" t="s">
        <v>2899</v>
      </c>
      <c r="B629" s="7" t="s">
        <v>2900</v>
      </c>
      <c r="C629" s="7" t="s">
        <v>2901</v>
      </c>
      <c r="D629" s="7" t="s">
        <v>93</v>
      </c>
      <c r="E629" s="7" t="s">
        <v>80</v>
      </c>
      <c r="F629" s="7" t="s">
        <v>109</v>
      </c>
      <c r="G629" s="11" t="s">
        <v>55</v>
      </c>
      <c r="H629" s="11" t="s">
        <v>55</v>
      </c>
      <c r="I629" s="11" t="s">
        <v>55</v>
      </c>
      <c r="J629" s="7" t="s">
        <v>55</v>
      </c>
      <c r="K629" s="11" t="s">
        <v>2902</v>
      </c>
      <c r="L629" s="14" t="str">
        <f t="shared" si="1"/>
        <v>Não</v>
      </c>
      <c r="M629" s="7"/>
      <c r="N629" s="7"/>
      <c r="O629" s="7" t="s">
        <v>55</v>
      </c>
      <c r="P629" s="7"/>
      <c r="Q629" s="16" t="s">
        <v>55</v>
      </c>
      <c r="R629" s="16" t="s">
        <v>55</v>
      </c>
      <c r="S629" s="16" t="s">
        <v>55</v>
      </c>
      <c r="T629" s="16" t="s">
        <v>55</v>
      </c>
      <c r="U629" s="16" t="s">
        <v>55</v>
      </c>
      <c r="V629" s="16" t="s">
        <v>184</v>
      </c>
      <c r="W629" s="16" t="s">
        <v>2903</v>
      </c>
      <c r="X629" s="6"/>
      <c r="Y629" s="6"/>
      <c r="Z629" s="6"/>
    </row>
    <row r="630" ht="15.0" customHeight="1">
      <c r="A630" s="7" t="s">
        <v>2904</v>
      </c>
      <c r="B630" s="7" t="s">
        <v>2733</v>
      </c>
      <c r="C630" s="7" t="s">
        <v>2905</v>
      </c>
      <c r="D630" s="7" t="s">
        <v>93</v>
      </c>
      <c r="E630" s="7" t="s">
        <v>138</v>
      </c>
      <c r="F630" s="7" t="s">
        <v>109</v>
      </c>
      <c r="G630" s="11" t="s">
        <v>55</v>
      </c>
      <c r="H630" s="11" t="s">
        <v>55</v>
      </c>
      <c r="I630" s="11" t="s">
        <v>55</v>
      </c>
      <c r="J630" s="7" t="s">
        <v>55</v>
      </c>
      <c r="K630" s="7"/>
      <c r="L630" s="14" t="str">
        <f t="shared" si="1"/>
        <v>Sim</v>
      </c>
      <c r="M630" s="11"/>
      <c r="N630" s="7"/>
      <c r="O630" s="7" t="s">
        <v>55</v>
      </c>
      <c r="P630" s="7"/>
      <c r="Q630" s="16" t="s">
        <v>55</v>
      </c>
      <c r="R630" s="16" t="s">
        <v>55</v>
      </c>
      <c r="S630" s="16" t="s">
        <v>55</v>
      </c>
      <c r="T630" s="16" t="s">
        <v>55</v>
      </c>
      <c r="U630" s="16" t="s">
        <v>55</v>
      </c>
      <c r="V630" s="16" t="s">
        <v>127</v>
      </c>
      <c r="W630" s="16"/>
      <c r="X630" s="6"/>
      <c r="Y630" s="6"/>
      <c r="Z630" s="6"/>
    </row>
    <row r="631" ht="15.0" customHeight="1">
      <c r="A631" s="7" t="s">
        <v>2906</v>
      </c>
      <c r="B631" s="7" t="s">
        <v>2907</v>
      </c>
      <c r="C631" s="7" t="s">
        <v>2908</v>
      </c>
      <c r="D631" s="7" t="s">
        <v>93</v>
      </c>
      <c r="E631" s="7" t="s">
        <v>300</v>
      </c>
      <c r="F631" s="7" t="s">
        <v>109</v>
      </c>
      <c r="G631" s="11" t="s">
        <v>55</v>
      </c>
      <c r="H631" s="11" t="s">
        <v>55</v>
      </c>
      <c r="I631" s="11" t="s">
        <v>55</v>
      </c>
      <c r="J631" s="7" t="s">
        <v>55</v>
      </c>
      <c r="K631" s="7"/>
      <c r="L631" s="14" t="str">
        <f t="shared" si="1"/>
        <v>Sim</v>
      </c>
      <c r="M631" s="11"/>
      <c r="N631" s="7"/>
      <c r="O631" s="7" t="s">
        <v>55</v>
      </c>
      <c r="P631" s="7"/>
      <c r="Q631" s="16" t="s">
        <v>55</v>
      </c>
      <c r="R631" s="16" t="s">
        <v>55</v>
      </c>
      <c r="S631" s="16" t="s">
        <v>55</v>
      </c>
      <c r="T631" s="16" t="s">
        <v>55</v>
      </c>
      <c r="U631" s="16" t="s">
        <v>55</v>
      </c>
      <c r="V631" s="16" t="s">
        <v>127</v>
      </c>
      <c r="W631" s="16"/>
      <c r="X631" s="6"/>
      <c r="Y631" s="6"/>
      <c r="Z631" s="6"/>
    </row>
    <row r="632" ht="15.0" customHeight="1">
      <c r="A632" s="7" t="s">
        <v>2909</v>
      </c>
      <c r="B632" s="7" t="s">
        <v>2910</v>
      </c>
      <c r="C632" s="7" t="s">
        <v>2911</v>
      </c>
      <c r="D632" s="7" t="s">
        <v>79</v>
      </c>
      <c r="E632" s="7" t="s">
        <v>85</v>
      </c>
      <c r="F632" s="7" t="s">
        <v>71</v>
      </c>
      <c r="G632" s="11" t="s">
        <v>55</v>
      </c>
      <c r="H632" s="11" t="s">
        <v>55</v>
      </c>
      <c r="I632" s="11" t="s">
        <v>55</v>
      </c>
      <c r="J632" s="7" t="s">
        <v>55</v>
      </c>
      <c r="K632" s="7"/>
      <c r="L632" s="14" t="str">
        <f t="shared" si="1"/>
        <v>Sim</v>
      </c>
      <c r="M632" s="11"/>
      <c r="N632" s="7"/>
      <c r="O632" s="7" t="s">
        <v>55</v>
      </c>
      <c r="P632" s="7"/>
      <c r="Q632" s="16" t="s">
        <v>55</v>
      </c>
      <c r="R632" s="16" t="s">
        <v>55</v>
      </c>
      <c r="S632" s="16" t="s">
        <v>55</v>
      </c>
      <c r="T632" s="16" t="s">
        <v>55</v>
      </c>
      <c r="U632" s="16" t="s">
        <v>55</v>
      </c>
      <c r="V632" s="16" t="s">
        <v>127</v>
      </c>
      <c r="W632" s="16"/>
      <c r="X632" s="49"/>
      <c r="Y632" s="49"/>
      <c r="Z632" s="49"/>
    </row>
    <row r="633" ht="30.0" customHeight="1">
      <c r="A633" s="7" t="s">
        <v>2912</v>
      </c>
      <c r="B633" s="7" t="s">
        <v>2913</v>
      </c>
      <c r="C633" s="7" t="s">
        <v>2914</v>
      </c>
      <c r="D633" s="7" t="s">
        <v>79</v>
      </c>
      <c r="E633" s="7" t="s">
        <v>85</v>
      </c>
      <c r="F633" s="7" t="s">
        <v>71</v>
      </c>
      <c r="G633" s="11" t="s">
        <v>55</v>
      </c>
      <c r="H633" s="11" t="s">
        <v>55</v>
      </c>
      <c r="I633" s="11" t="s">
        <v>55</v>
      </c>
      <c r="J633" s="7" t="s">
        <v>55</v>
      </c>
      <c r="K633" s="11" t="s">
        <v>2915</v>
      </c>
      <c r="L633" s="14" t="str">
        <f t="shared" si="1"/>
        <v>Não</v>
      </c>
      <c r="M633" s="7"/>
      <c r="N633" s="7"/>
      <c r="O633" s="7" t="s">
        <v>55</v>
      </c>
      <c r="P633" s="7"/>
      <c r="Q633" s="16" t="s">
        <v>55</v>
      </c>
      <c r="R633" s="16" t="s">
        <v>55</v>
      </c>
      <c r="S633" s="16" t="s">
        <v>55</v>
      </c>
      <c r="T633" s="16" t="s">
        <v>55</v>
      </c>
      <c r="U633" s="16" t="s">
        <v>55</v>
      </c>
      <c r="V633" s="16" t="s">
        <v>127</v>
      </c>
      <c r="W633" s="16" t="s">
        <v>2916</v>
      </c>
      <c r="X633" s="49"/>
      <c r="Y633" s="49"/>
      <c r="Z633" s="49"/>
    </row>
    <row r="634" ht="15.0" customHeight="1">
      <c r="A634" s="7" t="s">
        <v>2917</v>
      </c>
      <c r="B634" s="7" t="s">
        <v>2918</v>
      </c>
      <c r="C634" s="7" t="s">
        <v>2919</v>
      </c>
      <c r="D634" s="7" t="s">
        <v>79</v>
      </c>
      <c r="E634" s="7" t="s">
        <v>180</v>
      </c>
      <c r="F634" s="7" t="s">
        <v>71</v>
      </c>
      <c r="G634" s="11" t="s">
        <v>55</v>
      </c>
      <c r="H634" s="11" t="s">
        <v>55</v>
      </c>
      <c r="I634" s="11" t="s">
        <v>55</v>
      </c>
      <c r="J634" s="7" t="s">
        <v>55</v>
      </c>
      <c r="K634" s="7"/>
      <c r="L634" s="14" t="str">
        <f t="shared" si="1"/>
        <v>Sim</v>
      </c>
      <c r="M634" s="11"/>
      <c r="N634" s="7"/>
      <c r="O634" s="7" t="s">
        <v>55</v>
      </c>
      <c r="P634" s="7"/>
      <c r="Q634" s="16" t="s">
        <v>55</v>
      </c>
      <c r="R634" s="16" t="s">
        <v>55</v>
      </c>
      <c r="S634" s="16" t="s">
        <v>55</v>
      </c>
      <c r="T634" s="16" t="s">
        <v>55</v>
      </c>
      <c r="U634" s="16" t="s">
        <v>55</v>
      </c>
      <c r="V634" s="16" t="s">
        <v>127</v>
      </c>
      <c r="W634" s="16"/>
      <c r="X634" s="49"/>
      <c r="Y634" s="49"/>
      <c r="Z634" s="49"/>
    </row>
    <row r="635" ht="15.0" customHeight="1">
      <c r="A635" s="7" t="s">
        <v>2920</v>
      </c>
      <c r="B635" s="7" t="s">
        <v>2921</v>
      </c>
      <c r="C635" s="7" t="s">
        <v>2922</v>
      </c>
      <c r="D635" s="7" t="s">
        <v>79</v>
      </c>
      <c r="E635" s="7" t="s">
        <v>85</v>
      </c>
      <c r="F635" s="7" t="s">
        <v>71</v>
      </c>
      <c r="G635" s="11" t="s">
        <v>57</v>
      </c>
      <c r="H635" s="11" t="s">
        <v>55</v>
      </c>
      <c r="I635" s="11" t="s">
        <v>55</v>
      </c>
      <c r="J635" s="7" t="s">
        <v>55</v>
      </c>
      <c r="K635" s="7"/>
      <c r="L635" s="14" t="str">
        <f t="shared" si="1"/>
        <v>Não</v>
      </c>
      <c r="M635" s="7"/>
      <c r="N635" s="7"/>
      <c r="O635" s="7" t="s">
        <v>55</v>
      </c>
      <c r="P635" s="7"/>
      <c r="Q635" s="16" t="s">
        <v>57</v>
      </c>
      <c r="R635" s="16" t="s">
        <v>55</v>
      </c>
      <c r="S635" s="16" t="s">
        <v>55</v>
      </c>
      <c r="T635" s="16" t="s">
        <v>55</v>
      </c>
      <c r="U635" s="16" t="s">
        <v>57</v>
      </c>
      <c r="V635" s="16" t="s">
        <v>225</v>
      </c>
      <c r="W635" s="16"/>
      <c r="X635" s="49"/>
      <c r="Y635" s="49"/>
      <c r="Z635" s="49"/>
    </row>
    <row r="636" ht="15.0" customHeight="1">
      <c r="A636" s="7" t="s">
        <v>2923</v>
      </c>
      <c r="B636" s="7" t="s">
        <v>2924</v>
      </c>
      <c r="C636" s="7" t="s">
        <v>2925</v>
      </c>
      <c r="D636" s="7" t="s">
        <v>79</v>
      </c>
      <c r="E636" s="7" t="s">
        <v>138</v>
      </c>
      <c r="F636" s="7" t="s">
        <v>71</v>
      </c>
      <c r="G636" s="11" t="s">
        <v>57</v>
      </c>
      <c r="H636" s="11" t="s">
        <v>55</v>
      </c>
      <c r="I636" s="11" t="s">
        <v>55</v>
      </c>
      <c r="J636" s="7" t="s">
        <v>55</v>
      </c>
      <c r="K636" s="7"/>
      <c r="L636" s="14" t="str">
        <f t="shared" si="1"/>
        <v>Não</v>
      </c>
      <c r="M636" s="7"/>
      <c r="N636" s="7"/>
      <c r="O636" s="7" t="s">
        <v>55</v>
      </c>
      <c r="P636" s="7"/>
      <c r="Q636" s="16" t="s">
        <v>57</v>
      </c>
      <c r="R636" s="16" t="s">
        <v>55</v>
      </c>
      <c r="S636" s="16" t="s">
        <v>55</v>
      </c>
      <c r="T636" s="16" t="s">
        <v>55</v>
      </c>
      <c r="U636" s="16" t="s">
        <v>57</v>
      </c>
      <c r="V636" s="16" t="s">
        <v>225</v>
      </c>
      <c r="W636" s="16"/>
      <c r="X636" s="49"/>
      <c r="Y636" s="49"/>
      <c r="Z636" s="49"/>
    </row>
    <row r="637" ht="15.0" customHeight="1">
      <c r="A637" s="7" t="s">
        <v>2926</v>
      </c>
      <c r="B637" s="7" t="s">
        <v>2927</v>
      </c>
      <c r="C637" s="7" t="s">
        <v>2928</v>
      </c>
      <c r="D637" s="7" t="s">
        <v>79</v>
      </c>
      <c r="E637" s="7" t="s">
        <v>259</v>
      </c>
      <c r="F637" s="7" t="s">
        <v>71</v>
      </c>
      <c r="G637" s="11" t="s">
        <v>55</v>
      </c>
      <c r="H637" s="11" t="s">
        <v>55</v>
      </c>
      <c r="I637" s="11" t="s">
        <v>55</v>
      </c>
      <c r="J637" s="7" t="s">
        <v>55</v>
      </c>
      <c r="K637" s="11" t="s">
        <v>2929</v>
      </c>
      <c r="L637" s="14" t="str">
        <f t="shared" si="1"/>
        <v>Não</v>
      </c>
      <c r="M637" s="7"/>
      <c r="N637" s="7"/>
      <c r="O637" s="7" t="s">
        <v>55</v>
      </c>
      <c r="P637" s="7"/>
      <c r="Q637" s="16" t="s">
        <v>55</v>
      </c>
      <c r="R637" s="16" t="s">
        <v>55</v>
      </c>
      <c r="S637" s="16" t="s">
        <v>55</v>
      </c>
      <c r="T637" s="16" t="s">
        <v>55</v>
      </c>
      <c r="U637" s="16" t="s">
        <v>55</v>
      </c>
      <c r="V637" s="16" t="s">
        <v>127</v>
      </c>
      <c r="W637" s="16" t="s">
        <v>2930</v>
      </c>
      <c r="X637" s="49"/>
      <c r="Y637" s="49"/>
      <c r="Z637" s="49"/>
    </row>
    <row r="638" ht="15.0" customHeight="1">
      <c r="A638" s="7" t="s">
        <v>2931</v>
      </c>
      <c r="B638" s="7" t="s">
        <v>2932</v>
      </c>
      <c r="C638" s="7" t="s">
        <v>2933</v>
      </c>
      <c r="D638" s="7" t="s">
        <v>79</v>
      </c>
      <c r="E638" s="7" t="s">
        <v>337</v>
      </c>
      <c r="F638" s="7" t="s">
        <v>71</v>
      </c>
      <c r="G638" s="11" t="s">
        <v>55</v>
      </c>
      <c r="H638" s="11" t="s">
        <v>55</v>
      </c>
      <c r="I638" s="11" t="s">
        <v>55</v>
      </c>
      <c r="J638" s="7" t="s">
        <v>57</v>
      </c>
      <c r="K638" s="7"/>
      <c r="L638" s="14" t="str">
        <f t="shared" si="1"/>
        <v>Não</v>
      </c>
      <c r="M638" s="7"/>
      <c r="N638" s="7"/>
      <c r="O638" s="7" t="s">
        <v>55</v>
      </c>
      <c r="P638" s="7"/>
      <c r="Q638" s="16" t="s">
        <v>55</v>
      </c>
      <c r="R638" s="16" t="s">
        <v>55</v>
      </c>
      <c r="S638" s="16" t="s">
        <v>55</v>
      </c>
      <c r="T638" s="16" t="s">
        <v>57</v>
      </c>
      <c r="U638" s="16" t="s">
        <v>57</v>
      </c>
      <c r="V638" s="16" t="s">
        <v>1747</v>
      </c>
      <c r="W638" s="16"/>
      <c r="X638" s="49"/>
      <c r="Y638" s="49"/>
      <c r="Z638" s="49"/>
    </row>
    <row r="639" ht="15.0" customHeight="1">
      <c r="A639" s="7" t="s">
        <v>2934</v>
      </c>
      <c r="B639" s="7" t="s">
        <v>2935</v>
      </c>
      <c r="C639" s="7" t="s">
        <v>2936</v>
      </c>
      <c r="D639" s="7" t="s">
        <v>79</v>
      </c>
      <c r="E639" s="7" t="s">
        <v>48</v>
      </c>
      <c r="F639" s="7" t="s">
        <v>71</v>
      </c>
      <c r="G639" s="11" t="s">
        <v>55</v>
      </c>
      <c r="H639" s="11" t="s">
        <v>55</v>
      </c>
      <c r="I639" s="11" t="s">
        <v>55</v>
      </c>
      <c r="J639" s="7" t="s">
        <v>55</v>
      </c>
      <c r="K639" s="7"/>
      <c r="L639" s="14" t="str">
        <f t="shared" si="1"/>
        <v>Sim</v>
      </c>
      <c r="M639" s="11"/>
      <c r="N639" s="7"/>
      <c r="O639" s="7" t="s">
        <v>55</v>
      </c>
      <c r="P639" s="7"/>
      <c r="Q639" s="16" t="s">
        <v>55</v>
      </c>
      <c r="R639" s="16" t="s">
        <v>55</v>
      </c>
      <c r="S639" s="16" t="s">
        <v>55</v>
      </c>
      <c r="T639" s="16" t="s">
        <v>55</v>
      </c>
      <c r="U639" s="16" t="s">
        <v>55</v>
      </c>
      <c r="V639" s="16" t="s">
        <v>127</v>
      </c>
      <c r="W639" s="16"/>
      <c r="X639" s="49"/>
      <c r="Y639" s="49"/>
      <c r="Z639" s="49"/>
    </row>
    <row r="640" ht="15.0" customHeight="1">
      <c r="A640" s="7" t="s">
        <v>2937</v>
      </c>
      <c r="B640" s="7" t="s">
        <v>2938</v>
      </c>
      <c r="C640" s="7" t="s">
        <v>2939</v>
      </c>
      <c r="D640" s="7" t="s">
        <v>79</v>
      </c>
      <c r="E640" s="7" t="s">
        <v>286</v>
      </c>
      <c r="F640" s="7" t="s">
        <v>71</v>
      </c>
      <c r="G640" s="11" t="s">
        <v>55</v>
      </c>
      <c r="H640" s="11" t="s">
        <v>55</v>
      </c>
      <c r="I640" s="11" t="s">
        <v>55</v>
      </c>
      <c r="J640" s="7" t="s">
        <v>55</v>
      </c>
      <c r="K640" s="7"/>
      <c r="L640" s="14" t="str">
        <f t="shared" si="1"/>
        <v>Sim</v>
      </c>
      <c r="M640" s="11"/>
      <c r="N640" s="7"/>
      <c r="O640" s="7" t="s">
        <v>55</v>
      </c>
      <c r="P640" s="7"/>
      <c r="Q640" s="16" t="s">
        <v>55</v>
      </c>
      <c r="R640" s="16" t="s">
        <v>55</v>
      </c>
      <c r="S640" s="16" t="s">
        <v>55</v>
      </c>
      <c r="T640" s="16" t="s">
        <v>55</v>
      </c>
      <c r="U640" s="16" t="s">
        <v>55</v>
      </c>
      <c r="V640" s="16" t="s">
        <v>127</v>
      </c>
      <c r="W640" s="16"/>
      <c r="X640" s="49"/>
      <c r="Y640" s="49"/>
      <c r="Z640" s="49"/>
    </row>
    <row r="641" ht="15.0" customHeight="1">
      <c r="A641" s="7" t="s">
        <v>2940</v>
      </c>
      <c r="B641" s="7" t="s">
        <v>2941</v>
      </c>
      <c r="C641" s="7" t="s">
        <v>2942</v>
      </c>
      <c r="D641" s="7" t="s">
        <v>79</v>
      </c>
      <c r="E641" s="7" t="s">
        <v>85</v>
      </c>
      <c r="F641" s="7" t="s">
        <v>71</v>
      </c>
      <c r="G641" s="11" t="s">
        <v>55</v>
      </c>
      <c r="H641" s="11" t="s">
        <v>55</v>
      </c>
      <c r="I641" s="11" t="s">
        <v>55</v>
      </c>
      <c r="J641" s="7" t="s">
        <v>55</v>
      </c>
      <c r="K641" s="11" t="s">
        <v>2943</v>
      </c>
      <c r="L641" s="14" t="str">
        <f t="shared" si="1"/>
        <v>Não</v>
      </c>
      <c r="M641" s="7"/>
      <c r="N641" s="7"/>
      <c r="O641" s="7" t="s">
        <v>55</v>
      </c>
      <c r="P641" s="7"/>
      <c r="Q641" s="16" t="s">
        <v>55</v>
      </c>
      <c r="R641" s="16" t="s">
        <v>55</v>
      </c>
      <c r="S641" s="16" t="s">
        <v>55</v>
      </c>
      <c r="T641" s="16" t="s">
        <v>55</v>
      </c>
      <c r="U641" s="16" t="s">
        <v>55</v>
      </c>
      <c r="V641" s="16" t="s">
        <v>127</v>
      </c>
      <c r="W641" s="16" t="s">
        <v>2944</v>
      </c>
      <c r="X641" s="49"/>
      <c r="Y641" s="49"/>
      <c r="Z641" s="49"/>
    </row>
    <row r="642" ht="15.0" customHeight="1">
      <c r="A642" s="7" t="s">
        <v>2945</v>
      </c>
      <c r="B642" s="7" t="s">
        <v>2946</v>
      </c>
      <c r="C642" s="7" t="s">
        <v>2947</v>
      </c>
      <c r="D642" s="7" t="s">
        <v>79</v>
      </c>
      <c r="E642" s="7" t="s">
        <v>330</v>
      </c>
      <c r="F642" s="7" t="s">
        <v>71</v>
      </c>
      <c r="G642" s="11" t="s">
        <v>55</v>
      </c>
      <c r="H642" s="11" t="s">
        <v>55</v>
      </c>
      <c r="I642" s="11" t="s">
        <v>55</v>
      </c>
      <c r="J642" s="7" t="s">
        <v>57</v>
      </c>
      <c r="K642" s="7"/>
      <c r="L642" s="14" t="str">
        <f t="shared" si="1"/>
        <v>Não</v>
      </c>
      <c r="M642" s="7"/>
      <c r="N642" s="7"/>
      <c r="O642" s="7" t="s">
        <v>55</v>
      </c>
      <c r="P642" s="7"/>
      <c r="Q642" s="16" t="s">
        <v>55</v>
      </c>
      <c r="R642" s="16" t="s">
        <v>55</v>
      </c>
      <c r="S642" s="16" t="s">
        <v>55</v>
      </c>
      <c r="T642" s="16" t="s">
        <v>57</v>
      </c>
      <c r="U642" s="16" t="s">
        <v>57</v>
      </c>
      <c r="V642" s="16" t="s">
        <v>1747</v>
      </c>
      <c r="W642" s="16"/>
      <c r="X642" s="49"/>
      <c r="Y642" s="49"/>
      <c r="Z642" s="49"/>
    </row>
    <row r="643" ht="27.75" customHeight="1">
      <c r="A643" s="7" t="s">
        <v>2948</v>
      </c>
      <c r="B643" s="7" t="s">
        <v>2949</v>
      </c>
      <c r="C643" s="7" t="s">
        <v>2950</v>
      </c>
      <c r="D643" s="7" t="s">
        <v>79</v>
      </c>
      <c r="E643" s="7" t="s">
        <v>85</v>
      </c>
      <c r="F643" s="7" t="s">
        <v>71</v>
      </c>
      <c r="G643" s="11" t="s">
        <v>55</v>
      </c>
      <c r="H643" s="11" t="s">
        <v>55</v>
      </c>
      <c r="I643" s="11" t="s">
        <v>55</v>
      </c>
      <c r="J643" s="7" t="s">
        <v>55</v>
      </c>
      <c r="K643" s="11" t="s">
        <v>2951</v>
      </c>
      <c r="L643" s="14" t="str">
        <f t="shared" si="1"/>
        <v>Não</v>
      </c>
      <c r="M643" s="7"/>
      <c r="N643" s="7"/>
      <c r="O643" s="7" t="s">
        <v>55</v>
      </c>
      <c r="P643" s="7"/>
      <c r="Q643" s="16" t="s">
        <v>55</v>
      </c>
      <c r="R643" s="16" t="s">
        <v>55</v>
      </c>
      <c r="S643" s="16" t="s">
        <v>55</v>
      </c>
      <c r="T643" s="16" t="s">
        <v>55</v>
      </c>
      <c r="U643" s="16" t="s">
        <v>55</v>
      </c>
      <c r="V643" s="16" t="s">
        <v>127</v>
      </c>
      <c r="W643" s="16" t="s">
        <v>2952</v>
      </c>
      <c r="X643" s="49"/>
      <c r="Y643" s="49"/>
      <c r="Z643" s="49"/>
    </row>
    <row r="644" ht="15.0" customHeight="1">
      <c r="A644" s="7" t="s">
        <v>2953</v>
      </c>
      <c r="B644" s="7" t="s">
        <v>2954</v>
      </c>
      <c r="C644" s="7" t="s">
        <v>2955</v>
      </c>
      <c r="D644" s="7" t="s">
        <v>79</v>
      </c>
      <c r="E644" s="7" t="s">
        <v>300</v>
      </c>
      <c r="F644" s="7" t="s">
        <v>71</v>
      </c>
      <c r="G644" s="11" t="s">
        <v>55</v>
      </c>
      <c r="H644" s="11" t="s">
        <v>55</v>
      </c>
      <c r="I644" s="11" t="s">
        <v>55</v>
      </c>
      <c r="J644" s="7" t="s">
        <v>55</v>
      </c>
      <c r="K644" s="11" t="s">
        <v>321</v>
      </c>
      <c r="L644" s="14" t="str">
        <f t="shared" si="1"/>
        <v>Não</v>
      </c>
      <c r="M644" s="7"/>
      <c r="N644" s="7"/>
      <c r="O644" s="7" t="s">
        <v>55</v>
      </c>
      <c r="P644" s="7"/>
      <c r="Q644" s="16" t="s">
        <v>55</v>
      </c>
      <c r="R644" s="16" t="s">
        <v>55</v>
      </c>
      <c r="S644" s="16" t="s">
        <v>55</v>
      </c>
      <c r="T644" s="16" t="s">
        <v>55</v>
      </c>
      <c r="U644" s="16" t="s">
        <v>55</v>
      </c>
      <c r="V644" s="16" t="s">
        <v>127</v>
      </c>
      <c r="W644" s="16" t="s">
        <v>2956</v>
      </c>
      <c r="X644" s="49"/>
      <c r="Y644" s="49"/>
      <c r="Z644" s="49"/>
    </row>
    <row r="645" ht="15.0" customHeight="1">
      <c r="A645" s="7" t="s">
        <v>2957</v>
      </c>
      <c r="B645" s="7" t="s">
        <v>2958</v>
      </c>
      <c r="C645" s="7" t="s">
        <v>2959</v>
      </c>
      <c r="D645" s="7" t="s">
        <v>79</v>
      </c>
      <c r="E645" s="7" t="s">
        <v>85</v>
      </c>
      <c r="F645" s="7" t="s">
        <v>71</v>
      </c>
      <c r="G645" s="11" t="s">
        <v>55</v>
      </c>
      <c r="H645" s="11" t="s">
        <v>55</v>
      </c>
      <c r="I645" s="11" t="s">
        <v>55</v>
      </c>
      <c r="J645" s="7" t="s">
        <v>55</v>
      </c>
      <c r="K645" s="11" t="s">
        <v>2960</v>
      </c>
      <c r="L645" s="14" t="str">
        <f t="shared" si="1"/>
        <v>Não</v>
      </c>
      <c r="M645" s="7"/>
      <c r="N645" s="7"/>
      <c r="O645" s="7" t="s">
        <v>55</v>
      </c>
      <c r="P645" s="7"/>
      <c r="Q645" s="16" t="s">
        <v>55</v>
      </c>
      <c r="R645" s="16" t="s">
        <v>55</v>
      </c>
      <c r="S645" s="16" t="s">
        <v>55</v>
      </c>
      <c r="T645" s="16" t="s">
        <v>55</v>
      </c>
      <c r="U645" s="16" t="s">
        <v>55</v>
      </c>
      <c r="V645" s="16" t="s">
        <v>127</v>
      </c>
      <c r="W645" s="16" t="s">
        <v>2961</v>
      </c>
      <c r="X645" s="49"/>
      <c r="Y645" s="49"/>
      <c r="Z645" s="49"/>
    </row>
    <row r="646" ht="15.0" customHeight="1">
      <c r="A646" s="7" t="s">
        <v>2962</v>
      </c>
      <c r="B646" s="7" t="s">
        <v>2963</v>
      </c>
      <c r="C646" s="7" t="s">
        <v>2964</v>
      </c>
      <c r="D646" s="7" t="s">
        <v>79</v>
      </c>
      <c r="E646" s="7" t="s">
        <v>85</v>
      </c>
      <c r="F646" s="7" t="s">
        <v>71</v>
      </c>
      <c r="G646" s="11" t="s">
        <v>55</v>
      </c>
      <c r="H646" s="11" t="s">
        <v>55</v>
      </c>
      <c r="I646" s="11" t="s">
        <v>55</v>
      </c>
      <c r="J646" s="7" t="s">
        <v>55</v>
      </c>
      <c r="K646" s="11" t="s">
        <v>2965</v>
      </c>
      <c r="L646" s="14" t="str">
        <f t="shared" si="1"/>
        <v>Não</v>
      </c>
      <c r="M646" s="7"/>
      <c r="N646" s="7"/>
      <c r="O646" s="7" t="s">
        <v>55</v>
      </c>
      <c r="P646" s="7"/>
      <c r="Q646" s="16" t="s">
        <v>55</v>
      </c>
      <c r="R646" s="16" t="s">
        <v>55</v>
      </c>
      <c r="S646" s="16" t="s">
        <v>55</v>
      </c>
      <c r="T646" s="16" t="s">
        <v>55</v>
      </c>
      <c r="U646" s="16" t="s">
        <v>55</v>
      </c>
      <c r="V646" s="16" t="s">
        <v>127</v>
      </c>
      <c r="W646" s="16" t="s">
        <v>2966</v>
      </c>
      <c r="X646" s="49"/>
      <c r="Y646" s="49"/>
      <c r="Z646" s="49"/>
    </row>
    <row r="647" ht="15.0" customHeight="1">
      <c r="A647" s="7" t="s">
        <v>2967</v>
      </c>
      <c r="B647" s="7" t="s">
        <v>2968</v>
      </c>
      <c r="C647" s="7" t="s">
        <v>2969</v>
      </c>
      <c r="D647" s="7" t="s">
        <v>79</v>
      </c>
      <c r="E647" s="7" t="s">
        <v>267</v>
      </c>
      <c r="F647" s="7" t="s">
        <v>71</v>
      </c>
      <c r="G647" s="11" t="s">
        <v>55</v>
      </c>
      <c r="H647" s="11" t="s">
        <v>55</v>
      </c>
      <c r="I647" s="11" t="s">
        <v>55</v>
      </c>
      <c r="J647" s="7" t="s">
        <v>55</v>
      </c>
      <c r="K647" s="7"/>
      <c r="L647" s="14" t="str">
        <f t="shared" si="1"/>
        <v>Sim</v>
      </c>
      <c r="M647" s="11"/>
      <c r="N647" s="7"/>
      <c r="O647" s="7" t="s">
        <v>55</v>
      </c>
      <c r="P647" s="7"/>
      <c r="Q647" s="16" t="s">
        <v>55</v>
      </c>
      <c r="R647" s="16" t="s">
        <v>55</v>
      </c>
      <c r="S647" s="16" t="s">
        <v>55</v>
      </c>
      <c r="T647" s="16" t="s">
        <v>55</v>
      </c>
      <c r="U647" s="16" t="s">
        <v>55</v>
      </c>
      <c r="V647" s="16" t="s">
        <v>127</v>
      </c>
      <c r="W647" s="16"/>
      <c r="X647" s="49"/>
      <c r="Y647" s="49"/>
      <c r="Z647" s="49"/>
    </row>
    <row r="648" ht="15.0" customHeight="1">
      <c r="A648" s="7" t="s">
        <v>2970</v>
      </c>
      <c r="B648" s="7" t="s">
        <v>2971</v>
      </c>
      <c r="C648" s="7" t="s">
        <v>2972</v>
      </c>
      <c r="D648" s="7" t="s">
        <v>79</v>
      </c>
      <c r="E648" s="7" t="s">
        <v>85</v>
      </c>
      <c r="F648" s="7" t="s">
        <v>71</v>
      </c>
      <c r="G648" s="11" t="s">
        <v>55</v>
      </c>
      <c r="H648" s="11" t="s">
        <v>55</v>
      </c>
      <c r="I648" s="11" t="s">
        <v>55</v>
      </c>
      <c r="J648" s="7" t="s">
        <v>55</v>
      </c>
      <c r="K648" s="11" t="s">
        <v>2973</v>
      </c>
      <c r="L648" s="14" t="str">
        <f t="shared" si="1"/>
        <v>Não</v>
      </c>
      <c r="M648" s="7"/>
      <c r="N648" s="7"/>
      <c r="O648" s="7" t="s">
        <v>55</v>
      </c>
      <c r="P648" s="7"/>
      <c r="Q648" s="16" t="s">
        <v>55</v>
      </c>
      <c r="R648" s="16" t="s">
        <v>55</v>
      </c>
      <c r="S648" s="16" t="s">
        <v>55</v>
      </c>
      <c r="T648" s="16" t="s">
        <v>55</v>
      </c>
      <c r="U648" s="16" t="s">
        <v>55</v>
      </c>
      <c r="V648" s="16" t="s">
        <v>127</v>
      </c>
      <c r="W648" s="16" t="s">
        <v>2974</v>
      </c>
      <c r="X648" s="49"/>
      <c r="Y648" s="49"/>
      <c r="Z648" s="49"/>
    </row>
    <row r="649" ht="15.0" customHeight="1">
      <c r="A649" s="7" t="s">
        <v>2975</v>
      </c>
      <c r="B649" s="7" t="s">
        <v>2976</v>
      </c>
      <c r="C649" s="7" t="s">
        <v>2977</v>
      </c>
      <c r="D649" s="7" t="s">
        <v>79</v>
      </c>
      <c r="E649" s="7" t="s">
        <v>85</v>
      </c>
      <c r="F649" s="7" t="s">
        <v>71</v>
      </c>
      <c r="G649" s="11" t="s">
        <v>55</v>
      </c>
      <c r="H649" s="11" t="s">
        <v>55</v>
      </c>
      <c r="I649" s="11" t="s">
        <v>55</v>
      </c>
      <c r="J649" s="7" t="s">
        <v>55</v>
      </c>
      <c r="K649" s="11" t="s">
        <v>2978</v>
      </c>
      <c r="L649" s="14" t="str">
        <f t="shared" si="1"/>
        <v>Não</v>
      </c>
      <c r="M649" s="7"/>
      <c r="N649" s="7"/>
      <c r="O649" s="7" t="s">
        <v>55</v>
      </c>
      <c r="P649" s="7"/>
      <c r="Q649" s="16" t="s">
        <v>55</v>
      </c>
      <c r="R649" s="16" t="s">
        <v>55</v>
      </c>
      <c r="S649" s="16" t="s">
        <v>55</v>
      </c>
      <c r="T649" s="16" t="s">
        <v>55</v>
      </c>
      <c r="U649" s="16" t="s">
        <v>55</v>
      </c>
      <c r="V649" s="16" t="s">
        <v>127</v>
      </c>
      <c r="W649" s="16" t="s">
        <v>2979</v>
      </c>
      <c r="X649" s="49"/>
      <c r="Y649" s="49"/>
      <c r="Z649" s="49"/>
    </row>
    <row r="650" ht="15.0" customHeight="1">
      <c r="A650" s="7" t="s">
        <v>2980</v>
      </c>
      <c r="B650" s="7" t="s">
        <v>2981</v>
      </c>
      <c r="C650" s="7" t="s">
        <v>2982</v>
      </c>
      <c r="D650" s="7" t="s">
        <v>79</v>
      </c>
      <c r="E650" s="7" t="s">
        <v>80</v>
      </c>
      <c r="F650" s="7" t="s">
        <v>71</v>
      </c>
      <c r="G650" s="11" t="s">
        <v>55</v>
      </c>
      <c r="H650" s="11" t="s">
        <v>55</v>
      </c>
      <c r="I650" s="11" t="s">
        <v>55</v>
      </c>
      <c r="J650" s="7" t="s">
        <v>55</v>
      </c>
      <c r="K650" s="7"/>
      <c r="L650" s="14" t="str">
        <f t="shared" si="1"/>
        <v>Sim</v>
      </c>
      <c r="M650" s="11"/>
      <c r="N650" s="7"/>
      <c r="O650" s="7" t="s">
        <v>55</v>
      </c>
      <c r="P650" s="7"/>
      <c r="Q650" s="16" t="s">
        <v>55</v>
      </c>
      <c r="R650" s="16" t="s">
        <v>55</v>
      </c>
      <c r="S650" s="16" t="s">
        <v>55</v>
      </c>
      <c r="T650" s="16" t="s">
        <v>55</v>
      </c>
      <c r="U650" s="16" t="s">
        <v>55</v>
      </c>
      <c r="V650" s="16" t="s">
        <v>127</v>
      </c>
      <c r="W650" s="16"/>
      <c r="X650" s="49"/>
      <c r="Y650" s="49"/>
      <c r="Z650" s="49"/>
    </row>
    <row r="651" ht="15.0" customHeight="1">
      <c r="A651" s="7" t="s">
        <v>2983</v>
      </c>
      <c r="B651" s="7" t="s">
        <v>2984</v>
      </c>
      <c r="C651" s="7" t="s">
        <v>2985</v>
      </c>
      <c r="D651" s="7" t="s">
        <v>79</v>
      </c>
      <c r="E651" s="7" t="s">
        <v>85</v>
      </c>
      <c r="F651" s="7" t="s">
        <v>71</v>
      </c>
      <c r="G651" s="11" t="s">
        <v>55</v>
      </c>
      <c r="H651" s="11" t="s">
        <v>55</v>
      </c>
      <c r="I651" s="11" t="s">
        <v>55</v>
      </c>
      <c r="J651" s="7" t="s">
        <v>55</v>
      </c>
      <c r="K651" s="11" t="s">
        <v>2986</v>
      </c>
      <c r="L651" s="14" t="str">
        <f t="shared" si="1"/>
        <v>Não</v>
      </c>
      <c r="M651" s="7"/>
      <c r="N651" s="7"/>
      <c r="O651" s="7" t="s">
        <v>55</v>
      </c>
      <c r="P651" s="7"/>
      <c r="Q651" s="16" t="s">
        <v>55</v>
      </c>
      <c r="R651" s="16" t="s">
        <v>55</v>
      </c>
      <c r="S651" s="16" t="s">
        <v>55</v>
      </c>
      <c r="T651" s="16" t="s">
        <v>55</v>
      </c>
      <c r="U651" s="16" t="s">
        <v>55</v>
      </c>
      <c r="V651" s="16" t="s">
        <v>127</v>
      </c>
      <c r="W651" s="16" t="s">
        <v>2987</v>
      </c>
      <c r="X651" s="49"/>
      <c r="Y651" s="49"/>
      <c r="Z651" s="49"/>
    </row>
    <row r="652" ht="15.0" customHeight="1">
      <c r="A652" s="7" t="s">
        <v>2988</v>
      </c>
      <c r="B652" s="7" t="s">
        <v>2989</v>
      </c>
      <c r="C652" s="7" t="s">
        <v>2990</v>
      </c>
      <c r="D652" s="7" t="s">
        <v>79</v>
      </c>
      <c r="E652" s="7" t="s">
        <v>80</v>
      </c>
      <c r="F652" s="7" t="s">
        <v>71</v>
      </c>
      <c r="G652" s="11" t="s">
        <v>55</v>
      </c>
      <c r="H652" s="11" t="s">
        <v>55</v>
      </c>
      <c r="I652" s="11" t="s">
        <v>55</v>
      </c>
      <c r="J652" s="7" t="s">
        <v>55</v>
      </c>
      <c r="K652" s="11" t="s">
        <v>2986</v>
      </c>
      <c r="L652" s="14" t="str">
        <f t="shared" si="1"/>
        <v>Não</v>
      </c>
      <c r="M652" s="7"/>
      <c r="N652" s="7"/>
      <c r="O652" s="7" t="s">
        <v>55</v>
      </c>
      <c r="P652" s="7"/>
      <c r="Q652" s="16" t="s">
        <v>55</v>
      </c>
      <c r="R652" s="16" t="s">
        <v>55</v>
      </c>
      <c r="S652" s="16" t="s">
        <v>55</v>
      </c>
      <c r="T652" s="16" t="s">
        <v>55</v>
      </c>
      <c r="U652" s="16" t="s">
        <v>55</v>
      </c>
      <c r="V652" s="16" t="s">
        <v>127</v>
      </c>
      <c r="W652" s="16" t="s">
        <v>2991</v>
      </c>
      <c r="X652" s="49"/>
      <c r="Y652" s="49"/>
      <c r="Z652" s="49"/>
    </row>
    <row r="653" ht="15.0" customHeight="1">
      <c r="A653" s="7" t="s">
        <v>2992</v>
      </c>
      <c r="B653" s="7" t="s">
        <v>2993</v>
      </c>
      <c r="C653" s="7" t="s">
        <v>2994</v>
      </c>
      <c r="D653" s="7" t="s">
        <v>79</v>
      </c>
      <c r="E653" s="7" t="s">
        <v>330</v>
      </c>
      <c r="F653" s="7" t="s">
        <v>71</v>
      </c>
      <c r="G653" s="11" t="s">
        <v>55</v>
      </c>
      <c r="H653" s="11" t="s">
        <v>55</v>
      </c>
      <c r="I653" s="11" t="s">
        <v>55</v>
      </c>
      <c r="J653" s="7" t="s">
        <v>57</v>
      </c>
      <c r="K653" s="7"/>
      <c r="L653" s="14" t="str">
        <f t="shared" si="1"/>
        <v>Não</v>
      </c>
      <c r="M653" s="7"/>
      <c r="N653" s="7"/>
      <c r="O653" s="7" t="s">
        <v>55</v>
      </c>
      <c r="P653" s="7"/>
      <c r="Q653" s="16" t="s">
        <v>55</v>
      </c>
      <c r="R653" s="16" t="s">
        <v>55</v>
      </c>
      <c r="S653" s="16" t="s">
        <v>55</v>
      </c>
      <c r="T653" s="16" t="s">
        <v>57</v>
      </c>
      <c r="U653" s="16" t="s">
        <v>57</v>
      </c>
      <c r="V653" s="16" t="s">
        <v>1747</v>
      </c>
      <c r="W653" s="16"/>
      <c r="X653" s="49"/>
      <c r="Y653" s="49"/>
      <c r="Z653" s="49"/>
    </row>
    <row r="654" ht="15.0" customHeight="1">
      <c r="A654" s="7" t="s">
        <v>2995</v>
      </c>
      <c r="B654" s="7" t="s">
        <v>2996</v>
      </c>
      <c r="C654" s="7" t="s">
        <v>2997</v>
      </c>
      <c r="D654" s="7" t="s">
        <v>79</v>
      </c>
      <c r="E654" s="7" t="s">
        <v>286</v>
      </c>
      <c r="F654" s="7" t="s">
        <v>71</v>
      </c>
      <c r="G654" s="11" t="s">
        <v>55</v>
      </c>
      <c r="H654" s="11" t="s">
        <v>55</v>
      </c>
      <c r="I654" s="11" t="s">
        <v>55</v>
      </c>
      <c r="J654" s="7" t="s">
        <v>55</v>
      </c>
      <c r="K654" s="7"/>
      <c r="L654" s="14" t="str">
        <f t="shared" si="1"/>
        <v>Sim</v>
      </c>
      <c r="M654" s="11"/>
      <c r="N654" s="7"/>
      <c r="O654" s="7" t="s">
        <v>55</v>
      </c>
      <c r="P654" s="7"/>
      <c r="Q654" s="16" t="s">
        <v>55</v>
      </c>
      <c r="R654" s="16" t="s">
        <v>55</v>
      </c>
      <c r="S654" s="16" t="s">
        <v>55</v>
      </c>
      <c r="T654" s="16" t="s">
        <v>55</v>
      </c>
      <c r="U654" s="16" t="s">
        <v>55</v>
      </c>
      <c r="V654" s="16" t="s">
        <v>127</v>
      </c>
      <c r="W654" s="16"/>
      <c r="X654" s="49"/>
      <c r="Y654" s="49"/>
      <c r="Z654" s="49"/>
    </row>
    <row r="655" ht="15.0" customHeight="1">
      <c r="A655" s="7" t="s">
        <v>2998</v>
      </c>
      <c r="B655" s="7" t="s">
        <v>2999</v>
      </c>
      <c r="C655" s="7" t="s">
        <v>3000</v>
      </c>
      <c r="D655" s="7" t="s">
        <v>79</v>
      </c>
      <c r="E655" s="7" t="s">
        <v>138</v>
      </c>
      <c r="F655" s="7" t="s">
        <v>71</v>
      </c>
      <c r="G655" s="11" t="s">
        <v>55</v>
      </c>
      <c r="H655" s="11" t="s">
        <v>55</v>
      </c>
      <c r="I655" s="11" t="s">
        <v>55</v>
      </c>
      <c r="J655" s="7" t="s">
        <v>55</v>
      </c>
      <c r="K655" s="7"/>
      <c r="L655" s="14" t="str">
        <f t="shared" si="1"/>
        <v>Sim</v>
      </c>
      <c r="M655" s="11"/>
      <c r="N655" s="7"/>
      <c r="O655" s="7" t="s">
        <v>55</v>
      </c>
      <c r="P655" s="7"/>
      <c r="Q655" s="16" t="s">
        <v>55</v>
      </c>
      <c r="R655" s="16" t="s">
        <v>55</v>
      </c>
      <c r="S655" s="16" t="s">
        <v>55</v>
      </c>
      <c r="T655" s="16" t="s">
        <v>55</v>
      </c>
      <c r="U655" s="16" t="s">
        <v>55</v>
      </c>
      <c r="V655" s="16" t="s">
        <v>127</v>
      </c>
      <c r="W655" s="16"/>
      <c r="X655" s="49"/>
      <c r="Y655" s="49"/>
      <c r="Z655" s="49"/>
    </row>
    <row r="656" ht="15.0" customHeight="1">
      <c r="A656" s="7" t="s">
        <v>3001</v>
      </c>
      <c r="B656" s="7" t="s">
        <v>3002</v>
      </c>
      <c r="C656" s="7" t="s">
        <v>3003</v>
      </c>
      <c r="D656" s="7" t="s">
        <v>79</v>
      </c>
      <c r="E656" s="7" t="s">
        <v>180</v>
      </c>
      <c r="F656" s="7" t="s">
        <v>71</v>
      </c>
      <c r="G656" s="11" t="s">
        <v>55</v>
      </c>
      <c r="H656" s="11" t="s">
        <v>55</v>
      </c>
      <c r="I656" s="11" t="s">
        <v>55</v>
      </c>
      <c r="J656" s="7" t="s">
        <v>55</v>
      </c>
      <c r="K656" s="11" t="s">
        <v>3004</v>
      </c>
      <c r="L656" s="14" t="str">
        <f t="shared" si="1"/>
        <v>Não</v>
      </c>
      <c r="M656" s="7"/>
      <c r="N656" s="7"/>
      <c r="O656" s="7" t="s">
        <v>55</v>
      </c>
      <c r="P656" s="7"/>
      <c r="Q656" s="16" t="s">
        <v>55</v>
      </c>
      <c r="R656" s="16" t="s">
        <v>55</v>
      </c>
      <c r="S656" s="16" t="s">
        <v>55</v>
      </c>
      <c r="T656" s="16" t="s">
        <v>55</v>
      </c>
      <c r="U656" s="16" t="s">
        <v>55</v>
      </c>
      <c r="V656" s="16" t="s">
        <v>127</v>
      </c>
      <c r="W656" s="16" t="s">
        <v>3005</v>
      </c>
      <c r="X656" s="49"/>
      <c r="Y656" s="49"/>
      <c r="Z656" s="49"/>
    </row>
    <row r="657" ht="15.0" customHeight="1">
      <c r="A657" s="7" t="s">
        <v>3006</v>
      </c>
      <c r="B657" s="7" t="s">
        <v>3007</v>
      </c>
      <c r="C657" s="7" t="s">
        <v>3008</v>
      </c>
      <c r="D657" s="7" t="s">
        <v>79</v>
      </c>
      <c r="E657" s="7" t="s">
        <v>85</v>
      </c>
      <c r="F657" s="7" t="s">
        <v>71</v>
      </c>
      <c r="G657" s="11" t="s">
        <v>55</v>
      </c>
      <c r="H657" s="11" t="s">
        <v>55</v>
      </c>
      <c r="I657" s="11" t="s">
        <v>55</v>
      </c>
      <c r="J657" s="7" t="s">
        <v>55</v>
      </c>
      <c r="K657" s="11" t="s">
        <v>3009</v>
      </c>
      <c r="L657" s="14" t="str">
        <f t="shared" si="1"/>
        <v>Não</v>
      </c>
      <c r="M657" s="7"/>
      <c r="N657" s="7"/>
      <c r="O657" s="7" t="s">
        <v>55</v>
      </c>
      <c r="P657" s="7"/>
      <c r="Q657" s="16" t="s">
        <v>55</v>
      </c>
      <c r="R657" s="16" t="s">
        <v>55</v>
      </c>
      <c r="S657" s="16" t="s">
        <v>55</v>
      </c>
      <c r="T657" s="16" t="s">
        <v>55</v>
      </c>
      <c r="U657" s="16" t="s">
        <v>55</v>
      </c>
      <c r="V657" s="16" t="s">
        <v>127</v>
      </c>
      <c r="W657" s="16" t="s">
        <v>3010</v>
      </c>
      <c r="X657" s="49"/>
      <c r="Y657" s="49"/>
      <c r="Z657" s="49"/>
    </row>
    <row r="658" ht="30.0" customHeight="1">
      <c r="A658" s="7" t="s">
        <v>3011</v>
      </c>
      <c r="B658" s="7" t="s">
        <v>3012</v>
      </c>
      <c r="C658" s="7" t="s">
        <v>3013</v>
      </c>
      <c r="D658" s="7" t="s">
        <v>79</v>
      </c>
      <c r="E658" s="7" t="s">
        <v>148</v>
      </c>
      <c r="F658" s="7" t="s">
        <v>71</v>
      </c>
      <c r="G658" s="11" t="s">
        <v>55</v>
      </c>
      <c r="H658" s="11" t="s">
        <v>55</v>
      </c>
      <c r="I658" s="11" t="s">
        <v>55</v>
      </c>
      <c r="J658" s="7" t="s">
        <v>55</v>
      </c>
      <c r="K658" s="11" t="s">
        <v>3014</v>
      </c>
      <c r="L658" s="14" t="str">
        <f t="shared" si="1"/>
        <v>Não</v>
      </c>
      <c r="M658" s="7"/>
      <c r="N658" s="7"/>
      <c r="O658" s="7" t="s">
        <v>55</v>
      </c>
      <c r="P658" s="7"/>
      <c r="Q658" s="16" t="s">
        <v>55</v>
      </c>
      <c r="R658" s="16" t="s">
        <v>55</v>
      </c>
      <c r="S658" s="16" t="s">
        <v>55</v>
      </c>
      <c r="T658" s="16" t="s">
        <v>55</v>
      </c>
      <c r="U658" s="16" t="s">
        <v>55</v>
      </c>
      <c r="V658" s="16" t="s">
        <v>127</v>
      </c>
      <c r="W658" s="16" t="s">
        <v>3015</v>
      </c>
      <c r="X658" s="49"/>
      <c r="Y658" s="49"/>
      <c r="Z658" s="49"/>
    </row>
    <row r="659" ht="15.0" customHeight="1">
      <c r="A659" s="7" t="s">
        <v>3016</v>
      </c>
      <c r="B659" s="7" t="s">
        <v>3017</v>
      </c>
      <c r="C659" s="7" t="s">
        <v>3018</v>
      </c>
      <c r="D659" s="7" t="s">
        <v>79</v>
      </c>
      <c r="E659" s="7" t="s">
        <v>267</v>
      </c>
      <c r="F659" s="7" t="s">
        <v>71</v>
      </c>
      <c r="G659" s="11" t="s">
        <v>55</v>
      </c>
      <c r="H659" s="11" t="s">
        <v>55</v>
      </c>
      <c r="I659" s="11" t="s">
        <v>55</v>
      </c>
      <c r="J659" s="7" t="s">
        <v>55</v>
      </c>
      <c r="K659" s="7"/>
      <c r="L659" s="14" t="str">
        <f t="shared" si="1"/>
        <v>Sim</v>
      </c>
      <c r="M659" s="11"/>
      <c r="N659" s="7"/>
      <c r="O659" s="7" t="s">
        <v>55</v>
      </c>
      <c r="P659" s="7"/>
      <c r="Q659" s="16" t="s">
        <v>55</v>
      </c>
      <c r="R659" s="16" t="s">
        <v>55</v>
      </c>
      <c r="S659" s="16" t="s">
        <v>55</v>
      </c>
      <c r="T659" s="16" t="s">
        <v>55</v>
      </c>
      <c r="U659" s="16" t="s">
        <v>55</v>
      </c>
      <c r="V659" s="16" t="s">
        <v>127</v>
      </c>
      <c r="W659" s="16"/>
      <c r="X659" s="49"/>
      <c r="Y659" s="49"/>
      <c r="Z659" s="49"/>
    </row>
    <row r="660" ht="15.0" customHeight="1">
      <c r="A660" s="7" t="s">
        <v>3019</v>
      </c>
      <c r="B660" s="7" t="s">
        <v>3020</v>
      </c>
      <c r="C660" s="7" t="s">
        <v>3021</v>
      </c>
      <c r="D660" s="7" t="s">
        <v>79</v>
      </c>
      <c r="E660" s="7" t="s">
        <v>48</v>
      </c>
      <c r="F660" s="7" t="s">
        <v>71</v>
      </c>
      <c r="G660" s="11" t="s">
        <v>55</v>
      </c>
      <c r="H660" s="11" t="s">
        <v>55</v>
      </c>
      <c r="I660" s="11" t="s">
        <v>55</v>
      </c>
      <c r="J660" s="7" t="s">
        <v>55</v>
      </c>
      <c r="K660" s="11" t="s">
        <v>3022</v>
      </c>
      <c r="L660" s="14" t="str">
        <f t="shared" si="1"/>
        <v>Não</v>
      </c>
      <c r="M660" s="7"/>
      <c r="N660" s="7"/>
      <c r="O660" s="7" t="s">
        <v>55</v>
      </c>
      <c r="P660" s="7"/>
      <c r="Q660" s="16" t="s">
        <v>55</v>
      </c>
      <c r="R660" s="16" t="s">
        <v>55</v>
      </c>
      <c r="S660" s="16" t="s">
        <v>55</v>
      </c>
      <c r="T660" s="16" t="s">
        <v>55</v>
      </c>
      <c r="U660" s="16" t="s">
        <v>55</v>
      </c>
      <c r="V660" s="16" t="s">
        <v>127</v>
      </c>
      <c r="W660" s="16" t="s">
        <v>3023</v>
      </c>
      <c r="X660" s="49"/>
      <c r="Y660" s="49"/>
      <c r="Z660" s="49"/>
    </row>
    <row r="661" ht="15.0" customHeight="1">
      <c r="A661" s="7" t="s">
        <v>3024</v>
      </c>
      <c r="B661" s="7" t="s">
        <v>3025</v>
      </c>
      <c r="C661" s="7" t="s">
        <v>3026</v>
      </c>
      <c r="D661" s="7" t="s">
        <v>79</v>
      </c>
      <c r="E661" s="7" t="s">
        <v>328</v>
      </c>
      <c r="F661" s="7" t="s">
        <v>71</v>
      </c>
      <c r="G661" s="11" t="s">
        <v>55</v>
      </c>
      <c r="H661" s="11" t="s">
        <v>55</v>
      </c>
      <c r="I661" s="11" t="s">
        <v>55</v>
      </c>
      <c r="J661" s="7" t="s">
        <v>57</v>
      </c>
      <c r="K661" s="7"/>
      <c r="L661" s="14" t="str">
        <f t="shared" si="1"/>
        <v>Não</v>
      </c>
      <c r="M661" s="7"/>
      <c r="N661" s="7"/>
      <c r="O661" s="7" t="s">
        <v>55</v>
      </c>
      <c r="P661" s="7"/>
      <c r="Q661" s="16" t="s">
        <v>55</v>
      </c>
      <c r="R661" s="16" t="s">
        <v>55</v>
      </c>
      <c r="S661" s="16" t="s">
        <v>55</v>
      </c>
      <c r="T661" s="16" t="s">
        <v>57</v>
      </c>
      <c r="U661" s="16" t="s">
        <v>57</v>
      </c>
      <c r="V661" s="16" t="s">
        <v>1747</v>
      </c>
      <c r="W661" s="16"/>
      <c r="X661" s="49"/>
      <c r="Y661" s="49"/>
      <c r="Z661" s="49"/>
    </row>
    <row r="662" ht="15.0" customHeight="1">
      <c r="A662" s="7" t="s">
        <v>3027</v>
      </c>
      <c r="B662" s="7" t="s">
        <v>3028</v>
      </c>
      <c r="C662" s="7" t="s">
        <v>3029</v>
      </c>
      <c r="D662" s="7" t="s">
        <v>79</v>
      </c>
      <c r="E662" s="7" t="s">
        <v>48</v>
      </c>
      <c r="F662" s="7" t="s">
        <v>71</v>
      </c>
      <c r="G662" s="11" t="s">
        <v>55</v>
      </c>
      <c r="H662" s="11" t="s">
        <v>55</v>
      </c>
      <c r="I662" s="11" t="s">
        <v>55</v>
      </c>
      <c r="J662" s="7" t="s">
        <v>55</v>
      </c>
      <c r="K662" s="7"/>
      <c r="L662" s="14" t="str">
        <f t="shared" si="1"/>
        <v>Sim</v>
      </c>
      <c r="M662" s="11"/>
      <c r="N662" s="7"/>
      <c r="O662" s="7" t="s">
        <v>55</v>
      </c>
      <c r="P662" s="7"/>
      <c r="Q662" s="16" t="s">
        <v>55</v>
      </c>
      <c r="R662" s="16" t="s">
        <v>55</v>
      </c>
      <c r="S662" s="16" t="s">
        <v>55</v>
      </c>
      <c r="T662" s="16" t="s">
        <v>55</v>
      </c>
      <c r="U662" s="16" t="s">
        <v>55</v>
      </c>
      <c r="V662" s="16" t="s">
        <v>127</v>
      </c>
      <c r="W662" s="16"/>
      <c r="X662" s="49"/>
      <c r="Y662" s="49"/>
      <c r="Z662" s="49"/>
    </row>
    <row r="663" ht="15.0" customHeight="1">
      <c r="A663" s="7" t="s">
        <v>3030</v>
      </c>
      <c r="B663" s="7" t="s">
        <v>3031</v>
      </c>
      <c r="C663" s="7" t="s">
        <v>3032</v>
      </c>
      <c r="D663" s="7" t="s">
        <v>79</v>
      </c>
      <c r="E663" s="7" t="s">
        <v>48</v>
      </c>
      <c r="F663" s="7" t="s">
        <v>71</v>
      </c>
      <c r="G663" s="11" t="s">
        <v>55</v>
      </c>
      <c r="H663" s="11" t="s">
        <v>55</v>
      </c>
      <c r="I663" s="11" t="s">
        <v>55</v>
      </c>
      <c r="J663" s="7" t="s">
        <v>55</v>
      </c>
      <c r="K663" s="7"/>
      <c r="L663" s="14" t="str">
        <f t="shared" si="1"/>
        <v>Sim</v>
      </c>
      <c r="M663" s="11"/>
      <c r="N663" s="7"/>
      <c r="O663" s="7" t="s">
        <v>55</v>
      </c>
      <c r="P663" s="7"/>
      <c r="Q663" s="16" t="s">
        <v>55</v>
      </c>
      <c r="R663" s="16" t="s">
        <v>55</v>
      </c>
      <c r="S663" s="16" t="s">
        <v>55</v>
      </c>
      <c r="T663" s="16" t="s">
        <v>55</v>
      </c>
      <c r="U663" s="16" t="s">
        <v>55</v>
      </c>
      <c r="V663" s="16" t="s">
        <v>127</v>
      </c>
      <c r="W663" s="16"/>
      <c r="X663" s="49"/>
      <c r="Y663" s="49"/>
      <c r="Z663" s="49"/>
    </row>
    <row r="664" ht="28.5" customHeight="1">
      <c r="A664" s="7" t="s">
        <v>3033</v>
      </c>
      <c r="B664" s="7" t="s">
        <v>3034</v>
      </c>
      <c r="C664" s="7" t="s">
        <v>3035</v>
      </c>
      <c r="D664" s="7" t="s">
        <v>79</v>
      </c>
      <c r="E664" s="7" t="s">
        <v>85</v>
      </c>
      <c r="F664" s="7" t="s">
        <v>71</v>
      </c>
      <c r="G664" s="11" t="s">
        <v>55</v>
      </c>
      <c r="H664" s="11" t="s">
        <v>55</v>
      </c>
      <c r="I664" s="11" t="s">
        <v>55</v>
      </c>
      <c r="J664" s="7" t="s">
        <v>55</v>
      </c>
      <c r="K664" s="11" t="s">
        <v>3036</v>
      </c>
      <c r="L664" s="14" t="str">
        <f t="shared" si="1"/>
        <v>Não</v>
      </c>
      <c r="M664" s="7"/>
      <c r="N664" s="7"/>
      <c r="O664" s="7" t="s">
        <v>55</v>
      </c>
      <c r="P664" s="7"/>
      <c r="Q664" s="16" t="s">
        <v>55</v>
      </c>
      <c r="R664" s="16" t="s">
        <v>55</v>
      </c>
      <c r="S664" s="16" t="s">
        <v>55</v>
      </c>
      <c r="T664" s="16" t="s">
        <v>55</v>
      </c>
      <c r="U664" s="16" t="s">
        <v>55</v>
      </c>
      <c r="V664" s="16" t="s">
        <v>127</v>
      </c>
      <c r="W664" s="16" t="s">
        <v>3037</v>
      </c>
      <c r="X664" s="49"/>
      <c r="Y664" s="49"/>
      <c r="Z664" s="49"/>
    </row>
    <row r="665" ht="15.0" customHeight="1">
      <c r="A665" s="7" t="s">
        <v>73</v>
      </c>
      <c r="B665" s="7" t="s">
        <v>74</v>
      </c>
      <c r="C665" s="11" t="s">
        <v>3038</v>
      </c>
      <c r="D665" s="7" t="s">
        <v>79</v>
      </c>
      <c r="E665" s="7" t="s">
        <v>85</v>
      </c>
      <c r="F665" s="7" t="s">
        <v>71</v>
      </c>
      <c r="G665" s="11" t="s">
        <v>55</v>
      </c>
      <c r="H665" s="11" t="s">
        <v>55</v>
      </c>
      <c r="I665" s="11" t="s">
        <v>55</v>
      </c>
      <c r="J665" s="7" t="s">
        <v>55</v>
      </c>
      <c r="K665" s="7"/>
      <c r="L665" s="14" t="str">
        <f t="shared" si="1"/>
        <v>Sim</v>
      </c>
      <c r="M665" s="11" t="s">
        <v>87</v>
      </c>
      <c r="N665" s="7"/>
      <c r="O665" s="7" t="s">
        <v>55</v>
      </c>
      <c r="P665" s="7"/>
      <c r="Q665" s="16" t="s">
        <v>55</v>
      </c>
      <c r="R665" s="16" t="s">
        <v>55</v>
      </c>
      <c r="S665" s="16" t="s">
        <v>55</v>
      </c>
      <c r="T665" s="16" t="s">
        <v>55</v>
      </c>
      <c r="U665" s="16" t="s">
        <v>55</v>
      </c>
      <c r="V665" s="16" t="s">
        <v>127</v>
      </c>
      <c r="W665" s="16"/>
      <c r="X665" s="49"/>
      <c r="Y665" s="49"/>
      <c r="Z665" s="49"/>
    </row>
    <row r="666" ht="15.0" customHeight="1">
      <c r="A666" s="7" t="s">
        <v>3039</v>
      </c>
      <c r="B666" s="7" t="s">
        <v>3040</v>
      </c>
      <c r="C666" s="7" t="s">
        <v>3041</v>
      </c>
      <c r="D666" s="7" t="s">
        <v>79</v>
      </c>
      <c r="E666" s="7" t="s">
        <v>48</v>
      </c>
      <c r="F666" s="7" t="s">
        <v>71</v>
      </c>
      <c r="G666" s="11" t="s">
        <v>55</v>
      </c>
      <c r="H666" s="11" t="s">
        <v>55</v>
      </c>
      <c r="I666" s="11" t="s">
        <v>55</v>
      </c>
      <c r="J666" s="7" t="s">
        <v>55</v>
      </c>
      <c r="K666" s="7"/>
      <c r="L666" s="14" t="str">
        <f t="shared" si="1"/>
        <v>Sim</v>
      </c>
      <c r="M666" s="11"/>
      <c r="N666" s="7"/>
      <c r="O666" s="7" t="s">
        <v>55</v>
      </c>
      <c r="P666" s="7"/>
      <c r="Q666" s="16" t="s">
        <v>55</v>
      </c>
      <c r="R666" s="16" t="s">
        <v>55</v>
      </c>
      <c r="S666" s="16" t="s">
        <v>55</v>
      </c>
      <c r="T666" s="16" t="s">
        <v>55</v>
      </c>
      <c r="U666" s="16" t="s">
        <v>55</v>
      </c>
      <c r="V666" s="16" t="s">
        <v>127</v>
      </c>
      <c r="W666" s="16"/>
      <c r="X666" s="49"/>
      <c r="Y666" s="49"/>
      <c r="Z666" s="49"/>
    </row>
    <row r="667" ht="15.0" customHeight="1">
      <c r="A667" s="7" t="s">
        <v>3042</v>
      </c>
      <c r="B667" s="7" t="s">
        <v>3043</v>
      </c>
      <c r="C667" s="7" t="s">
        <v>3044</v>
      </c>
      <c r="D667" s="7" t="s">
        <v>79</v>
      </c>
      <c r="E667" s="7" t="s">
        <v>48</v>
      </c>
      <c r="F667" s="7" t="s">
        <v>71</v>
      </c>
      <c r="G667" s="11" t="s">
        <v>55</v>
      </c>
      <c r="H667" s="11" t="s">
        <v>55</v>
      </c>
      <c r="I667" s="11" t="s">
        <v>55</v>
      </c>
      <c r="J667" s="7" t="s">
        <v>55</v>
      </c>
      <c r="K667" s="7"/>
      <c r="L667" s="14" t="str">
        <f t="shared" si="1"/>
        <v>Sim</v>
      </c>
      <c r="M667" s="11"/>
      <c r="N667" s="7"/>
      <c r="O667" s="7" t="s">
        <v>55</v>
      </c>
      <c r="P667" s="7"/>
      <c r="Q667" s="16" t="s">
        <v>55</v>
      </c>
      <c r="R667" s="16" t="s">
        <v>55</v>
      </c>
      <c r="S667" s="16" t="s">
        <v>55</v>
      </c>
      <c r="T667" s="16" t="s">
        <v>55</v>
      </c>
      <c r="U667" s="16" t="s">
        <v>55</v>
      </c>
      <c r="V667" s="16" t="s">
        <v>127</v>
      </c>
      <c r="W667" s="16"/>
      <c r="X667" s="49"/>
      <c r="Y667" s="49"/>
      <c r="Z667" s="49"/>
    </row>
    <row r="668" ht="15.0" customHeight="1">
      <c r="A668" s="7" t="s">
        <v>3045</v>
      </c>
      <c r="B668" s="7" t="s">
        <v>3046</v>
      </c>
      <c r="C668" s="7" t="s">
        <v>3047</v>
      </c>
      <c r="D668" s="7" t="s">
        <v>79</v>
      </c>
      <c r="E668" s="7" t="s">
        <v>48</v>
      </c>
      <c r="F668" s="7" t="s">
        <v>71</v>
      </c>
      <c r="G668" s="11" t="s">
        <v>55</v>
      </c>
      <c r="H668" s="11" t="s">
        <v>55</v>
      </c>
      <c r="I668" s="11" t="s">
        <v>55</v>
      </c>
      <c r="J668" s="7" t="s">
        <v>55</v>
      </c>
      <c r="K668" s="11" t="s">
        <v>3048</v>
      </c>
      <c r="L668" s="14" t="str">
        <f t="shared" si="1"/>
        <v>Não</v>
      </c>
      <c r="M668" s="7"/>
      <c r="N668" s="7"/>
      <c r="O668" s="7" t="s">
        <v>55</v>
      </c>
      <c r="P668" s="7"/>
      <c r="Q668" s="16" t="s">
        <v>55</v>
      </c>
      <c r="R668" s="16" t="s">
        <v>55</v>
      </c>
      <c r="S668" s="16" t="s">
        <v>55</v>
      </c>
      <c r="T668" s="16" t="s">
        <v>55</v>
      </c>
      <c r="U668" s="16" t="s">
        <v>55</v>
      </c>
      <c r="V668" s="16" t="s">
        <v>127</v>
      </c>
      <c r="W668" s="16" t="s">
        <v>3049</v>
      </c>
      <c r="X668" s="49"/>
      <c r="Y668" s="49"/>
      <c r="Z668" s="49"/>
    </row>
    <row r="669" ht="15.0" customHeight="1">
      <c r="A669" s="7" t="s">
        <v>3050</v>
      </c>
      <c r="B669" s="7" t="s">
        <v>3051</v>
      </c>
      <c r="C669" s="7" t="s">
        <v>3052</v>
      </c>
      <c r="D669" s="7" t="s">
        <v>79</v>
      </c>
      <c r="E669" s="7" t="s">
        <v>48</v>
      </c>
      <c r="F669" s="7" t="s">
        <v>71</v>
      </c>
      <c r="G669" s="11" t="s">
        <v>55</v>
      </c>
      <c r="H669" s="11" t="s">
        <v>55</v>
      </c>
      <c r="I669" s="11" t="s">
        <v>55</v>
      </c>
      <c r="J669" s="7" t="s">
        <v>55</v>
      </c>
      <c r="K669" s="11" t="s">
        <v>3053</v>
      </c>
      <c r="L669" s="14" t="str">
        <f t="shared" si="1"/>
        <v>Não</v>
      </c>
      <c r="M669" s="7"/>
      <c r="N669" s="7"/>
      <c r="O669" s="7" t="s">
        <v>55</v>
      </c>
      <c r="P669" s="7"/>
      <c r="Q669" s="16" t="s">
        <v>55</v>
      </c>
      <c r="R669" s="16" t="s">
        <v>55</v>
      </c>
      <c r="S669" s="16" t="s">
        <v>55</v>
      </c>
      <c r="T669" s="16" t="s">
        <v>55</v>
      </c>
      <c r="U669" s="16" t="s">
        <v>55</v>
      </c>
      <c r="V669" s="16" t="s">
        <v>127</v>
      </c>
      <c r="W669" s="16" t="s">
        <v>3054</v>
      </c>
      <c r="X669" s="49"/>
      <c r="Y669" s="49"/>
      <c r="Z669" s="49"/>
    </row>
    <row r="670" ht="15.0" customHeight="1">
      <c r="A670" s="7" t="s">
        <v>3055</v>
      </c>
      <c r="B670" s="7" t="s">
        <v>3056</v>
      </c>
      <c r="C670" s="7" t="s">
        <v>3057</v>
      </c>
      <c r="D670" s="7" t="s">
        <v>79</v>
      </c>
      <c r="E670" s="7" t="s">
        <v>85</v>
      </c>
      <c r="F670" s="7" t="s">
        <v>71</v>
      </c>
      <c r="G670" s="11" t="s">
        <v>55</v>
      </c>
      <c r="H670" s="11" t="s">
        <v>55</v>
      </c>
      <c r="I670" s="11" t="s">
        <v>55</v>
      </c>
      <c r="J670" s="7" t="s">
        <v>55</v>
      </c>
      <c r="K670" s="7"/>
      <c r="L670" s="14" t="str">
        <f t="shared" si="1"/>
        <v>Sim</v>
      </c>
      <c r="M670" s="11"/>
      <c r="N670" s="7"/>
      <c r="O670" s="7" t="s">
        <v>55</v>
      </c>
      <c r="P670" s="7"/>
      <c r="Q670" s="16" t="s">
        <v>55</v>
      </c>
      <c r="R670" s="16" t="s">
        <v>55</v>
      </c>
      <c r="S670" s="16" t="s">
        <v>55</v>
      </c>
      <c r="T670" s="16" t="s">
        <v>55</v>
      </c>
      <c r="U670" s="16" t="s">
        <v>55</v>
      </c>
      <c r="V670" s="16" t="s">
        <v>127</v>
      </c>
      <c r="W670" s="16"/>
      <c r="X670" s="49"/>
      <c r="Y670" s="49"/>
      <c r="Z670" s="49"/>
    </row>
    <row r="671" ht="15.0" customHeight="1">
      <c r="A671" s="7" t="s">
        <v>3058</v>
      </c>
      <c r="B671" s="7" t="s">
        <v>3059</v>
      </c>
      <c r="C671" s="7" t="s">
        <v>3060</v>
      </c>
      <c r="D671" s="7" t="s">
        <v>79</v>
      </c>
      <c r="E671" s="7" t="s">
        <v>48</v>
      </c>
      <c r="F671" s="7" t="s">
        <v>71</v>
      </c>
      <c r="G671" s="11" t="s">
        <v>55</v>
      </c>
      <c r="H671" s="11" t="s">
        <v>55</v>
      </c>
      <c r="I671" s="11" t="s">
        <v>55</v>
      </c>
      <c r="J671" s="7" t="s">
        <v>55</v>
      </c>
      <c r="K671" s="7"/>
      <c r="L671" s="14" t="str">
        <f t="shared" si="1"/>
        <v>Sim</v>
      </c>
      <c r="M671" s="11"/>
      <c r="N671" s="7"/>
      <c r="O671" s="7" t="s">
        <v>55</v>
      </c>
      <c r="P671" s="7"/>
      <c r="Q671" s="16" t="s">
        <v>55</v>
      </c>
      <c r="R671" s="16" t="s">
        <v>55</v>
      </c>
      <c r="S671" s="16" t="s">
        <v>55</v>
      </c>
      <c r="T671" s="16" t="s">
        <v>55</v>
      </c>
      <c r="U671" s="16" t="s">
        <v>55</v>
      </c>
      <c r="V671" s="16" t="s">
        <v>127</v>
      </c>
      <c r="W671" s="16"/>
      <c r="X671" s="49"/>
      <c r="Y671" s="49"/>
      <c r="Z671" s="49"/>
    </row>
    <row r="672" ht="15.0" customHeight="1">
      <c r="A672" s="7" t="s">
        <v>3061</v>
      </c>
      <c r="B672" s="7" t="s">
        <v>3062</v>
      </c>
      <c r="C672" s="7" t="s">
        <v>3063</v>
      </c>
      <c r="D672" s="7" t="s">
        <v>79</v>
      </c>
      <c r="E672" s="7" t="s">
        <v>85</v>
      </c>
      <c r="F672" s="7" t="s">
        <v>71</v>
      </c>
      <c r="G672" s="11" t="s">
        <v>55</v>
      </c>
      <c r="H672" s="11" t="s">
        <v>55</v>
      </c>
      <c r="I672" s="11" t="s">
        <v>55</v>
      </c>
      <c r="J672" s="7" t="s">
        <v>55</v>
      </c>
      <c r="K672" s="7"/>
      <c r="L672" s="14" t="str">
        <f t="shared" si="1"/>
        <v>Sim</v>
      </c>
      <c r="M672" s="11"/>
      <c r="N672" s="7"/>
      <c r="O672" s="7" t="s">
        <v>55</v>
      </c>
      <c r="P672" s="7"/>
      <c r="Q672" s="16" t="s">
        <v>55</v>
      </c>
      <c r="R672" s="16" t="s">
        <v>55</v>
      </c>
      <c r="S672" s="16" t="s">
        <v>55</v>
      </c>
      <c r="T672" s="16" t="s">
        <v>55</v>
      </c>
      <c r="U672" s="16" t="s">
        <v>55</v>
      </c>
      <c r="V672" s="16" t="s">
        <v>127</v>
      </c>
      <c r="W672" s="16"/>
      <c r="X672" s="49"/>
      <c r="Y672" s="49"/>
      <c r="Z672" s="49"/>
    </row>
    <row r="673" ht="15.0" customHeight="1">
      <c r="A673" s="7" t="s">
        <v>3064</v>
      </c>
      <c r="B673" s="7" t="s">
        <v>3065</v>
      </c>
      <c r="C673" s="7" t="s">
        <v>3066</v>
      </c>
      <c r="D673" s="7" t="s">
        <v>79</v>
      </c>
      <c r="E673" s="7" t="s">
        <v>80</v>
      </c>
      <c r="F673" s="7" t="s">
        <v>71</v>
      </c>
      <c r="G673" s="11" t="s">
        <v>55</v>
      </c>
      <c r="H673" s="11" t="s">
        <v>55</v>
      </c>
      <c r="I673" s="11" t="s">
        <v>55</v>
      </c>
      <c r="J673" s="7" t="s">
        <v>55</v>
      </c>
      <c r="K673" s="7"/>
      <c r="L673" s="14" t="str">
        <f t="shared" si="1"/>
        <v>Sim</v>
      </c>
      <c r="M673" s="11"/>
      <c r="N673" s="7"/>
      <c r="O673" s="7" t="s">
        <v>55</v>
      </c>
      <c r="P673" s="7"/>
      <c r="Q673" s="16" t="s">
        <v>55</v>
      </c>
      <c r="R673" s="16" t="s">
        <v>55</v>
      </c>
      <c r="S673" s="16" t="s">
        <v>55</v>
      </c>
      <c r="T673" s="16" t="s">
        <v>55</v>
      </c>
      <c r="U673" s="16" t="s">
        <v>55</v>
      </c>
      <c r="V673" s="16" t="s">
        <v>127</v>
      </c>
      <c r="W673" s="16"/>
      <c r="X673" s="49"/>
      <c r="Y673" s="49"/>
      <c r="Z673" s="49"/>
    </row>
    <row r="674" ht="15.0" customHeight="1">
      <c r="A674" s="7" t="s">
        <v>3067</v>
      </c>
      <c r="B674" s="7" t="s">
        <v>3068</v>
      </c>
      <c r="C674" s="7" t="s">
        <v>3069</v>
      </c>
      <c r="D674" s="7" t="s">
        <v>79</v>
      </c>
      <c r="E674" s="7" t="s">
        <v>85</v>
      </c>
      <c r="F674" s="7" t="s">
        <v>71</v>
      </c>
      <c r="G674" s="11" t="s">
        <v>55</v>
      </c>
      <c r="H674" s="11" t="s">
        <v>55</v>
      </c>
      <c r="I674" s="11" t="s">
        <v>55</v>
      </c>
      <c r="J674" s="7" t="s">
        <v>55</v>
      </c>
      <c r="K674" s="11" t="s">
        <v>468</v>
      </c>
      <c r="L674" s="14" t="str">
        <f t="shared" si="1"/>
        <v>Não</v>
      </c>
      <c r="M674" s="7"/>
      <c r="N674" s="7"/>
      <c r="O674" s="7" t="s">
        <v>55</v>
      </c>
      <c r="P674" s="7"/>
      <c r="Q674" s="16" t="s">
        <v>55</v>
      </c>
      <c r="R674" s="16" t="s">
        <v>55</v>
      </c>
      <c r="S674" s="16" t="s">
        <v>55</v>
      </c>
      <c r="T674" s="16" t="s">
        <v>55</v>
      </c>
      <c r="U674" s="16" t="s">
        <v>55</v>
      </c>
      <c r="V674" s="16" t="s">
        <v>127</v>
      </c>
      <c r="W674" s="16" t="s">
        <v>3070</v>
      </c>
      <c r="X674" s="49"/>
      <c r="Y674" s="49"/>
      <c r="Z674" s="49"/>
    </row>
    <row r="675" ht="15.0" customHeight="1">
      <c r="A675" s="7" t="s">
        <v>3071</v>
      </c>
      <c r="B675" s="7" t="s">
        <v>3072</v>
      </c>
      <c r="C675" s="7" t="s">
        <v>3073</v>
      </c>
      <c r="D675" s="7" t="s">
        <v>79</v>
      </c>
      <c r="E675" s="7" t="s">
        <v>85</v>
      </c>
      <c r="F675" s="7" t="s">
        <v>71</v>
      </c>
      <c r="G675" s="11" t="s">
        <v>55</v>
      </c>
      <c r="H675" s="11" t="s">
        <v>55</v>
      </c>
      <c r="I675" s="11" t="s">
        <v>55</v>
      </c>
      <c r="J675" s="7" t="s">
        <v>55</v>
      </c>
      <c r="K675" s="7"/>
      <c r="L675" s="14" t="str">
        <f t="shared" si="1"/>
        <v>Sim</v>
      </c>
      <c r="M675" s="11"/>
      <c r="N675" s="7"/>
      <c r="O675" s="7" t="s">
        <v>55</v>
      </c>
      <c r="P675" s="7"/>
      <c r="Q675" s="16" t="s">
        <v>55</v>
      </c>
      <c r="R675" s="16" t="s">
        <v>55</v>
      </c>
      <c r="S675" s="16" t="s">
        <v>55</v>
      </c>
      <c r="T675" s="16" t="s">
        <v>55</v>
      </c>
      <c r="U675" s="16" t="s">
        <v>55</v>
      </c>
      <c r="V675" s="16" t="s">
        <v>127</v>
      </c>
      <c r="W675" s="16"/>
      <c r="X675" s="49"/>
      <c r="Y675" s="49"/>
      <c r="Z675" s="49"/>
    </row>
    <row r="676" ht="15.0" customHeight="1">
      <c r="A676" s="7" t="s">
        <v>3074</v>
      </c>
      <c r="B676" s="7" t="s">
        <v>3075</v>
      </c>
      <c r="C676" s="7" t="s">
        <v>3076</v>
      </c>
      <c r="D676" s="7" t="s">
        <v>79</v>
      </c>
      <c r="E676" s="7" t="s">
        <v>85</v>
      </c>
      <c r="F676" s="7" t="s">
        <v>71</v>
      </c>
      <c r="G676" s="11" t="s">
        <v>55</v>
      </c>
      <c r="H676" s="11" t="s">
        <v>55</v>
      </c>
      <c r="I676" s="11" t="s">
        <v>55</v>
      </c>
      <c r="J676" s="7" t="s">
        <v>55</v>
      </c>
      <c r="K676" s="11" t="s">
        <v>3077</v>
      </c>
      <c r="L676" s="14" t="str">
        <f t="shared" si="1"/>
        <v>Não</v>
      </c>
      <c r="M676" s="7"/>
      <c r="N676" s="7"/>
      <c r="O676" s="7" t="s">
        <v>55</v>
      </c>
      <c r="P676" s="7"/>
      <c r="Q676" s="16" t="s">
        <v>55</v>
      </c>
      <c r="R676" s="16" t="s">
        <v>55</v>
      </c>
      <c r="S676" s="16" t="s">
        <v>55</v>
      </c>
      <c r="T676" s="16" t="s">
        <v>55</v>
      </c>
      <c r="U676" s="16" t="s">
        <v>55</v>
      </c>
      <c r="V676" s="16" t="s">
        <v>127</v>
      </c>
      <c r="W676" s="16" t="s">
        <v>3078</v>
      </c>
      <c r="X676" s="49"/>
      <c r="Y676" s="49"/>
      <c r="Z676" s="49"/>
    </row>
    <row r="677" ht="15.0" customHeight="1">
      <c r="A677" s="7" t="s">
        <v>3079</v>
      </c>
      <c r="B677" s="7" t="s">
        <v>3080</v>
      </c>
      <c r="C677" s="7" t="s">
        <v>3081</v>
      </c>
      <c r="D677" s="7" t="s">
        <v>79</v>
      </c>
      <c r="E677" s="7" t="s">
        <v>85</v>
      </c>
      <c r="F677" s="7" t="s">
        <v>71</v>
      </c>
      <c r="G677" s="11" t="s">
        <v>55</v>
      </c>
      <c r="H677" s="11" t="s">
        <v>55</v>
      </c>
      <c r="I677" s="11" t="s">
        <v>55</v>
      </c>
      <c r="J677" s="7" t="s">
        <v>55</v>
      </c>
      <c r="K677" s="7"/>
      <c r="L677" s="14" t="str">
        <f t="shared" si="1"/>
        <v>Sim</v>
      </c>
      <c r="M677" s="11"/>
      <c r="N677" s="7"/>
      <c r="O677" s="7" t="s">
        <v>55</v>
      </c>
      <c r="P677" s="7"/>
      <c r="Q677" s="16" t="s">
        <v>55</v>
      </c>
      <c r="R677" s="16" t="s">
        <v>55</v>
      </c>
      <c r="S677" s="16" t="s">
        <v>55</v>
      </c>
      <c r="T677" s="16" t="s">
        <v>55</v>
      </c>
      <c r="U677" s="16" t="s">
        <v>55</v>
      </c>
      <c r="V677" s="16" t="s">
        <v>127</v>
      </c>
      <c r="W677" s="16"/>
      <c r="X677" s="49"/>
      <c r="Y677" s="49"/>
      <c r="Z677" s="49"/>
    </row>
    <row r="678" ht="15.0" customHeight="1">
      <c r="A678" s="7" t="s">
        <v>3082</v>
      </c>
      <c r="B678" s="7" t="s">
        <v>3083</v>
      </c>
      <c r="C678" s="7" t="s">
        <v>3084</v>
      </c>
      <c r="D678" s="7" t="s">
        <v>79</v>
      </c>
      <c r="E678" s="7" t="s">
        <v>85</v>
      </c>
      <c r="F678" s="7" t="s">
        <v>71</v>
      </c>
      <c r="G678" s="11" t="s">
        <v>55</v>
      </c>
      <c r="H678" s="11" t="s">
        <v>55</v>
      </c>
      <c r="I678" s="11" t="s">
        <v>55</v>
      </c>
      <c r="J678" s="7" t="s">
        <v>55</v>
      </c>
      <c r="K678" s="11" t="s">
        <v>3085</v>
      </c>
      <c r="L678" s="14" t="str">
        <f t="shared" si="1"/>
        <v>Não</v>
      </c>
      <c r="M678" s="7"/>
      <c r="N678" s="7"/>
      <c r="O678" s="7" t="s">
        <v>55</v>
      </c>
      <c r="P678" s="7"/>
      <c r="Q678" s="16" t="s">
        <v>55</v>
      </c>
      <c r="R678" s="16" t="s">
        <v>55</v>
      </c>
      <c r="S678" s="16" t="s">
        <v>55</v>
      </c>
      <c r="T678" s="16" t="s">
        <v>55</v>
      </c>
      <c r="U678" s="16" t="s">
        <v>55</v>
      </c>
      <c r="V678" s="16" t="s">
        <v>127</v>
      </c>
      <c r="W678" s="16" t="s">
        <v>3086</v>
      </c>
      <c r="X678" s="49"/>
      <c r="Y678" s="49"/>
      <c r="Z678" s="49"/>
    </row>
    <row r="679" ht="15.0" customHeight="1">
      <c r="A679" s="7" t="s">
        <v>3087</v>
      </c>
      <c r="B679" s="7" t="s">
        <v>3088</v>
      </c>
      <c r="C679" s="7" t="s">
        <v>3089</v>
      </c>
      <c r="D679" s="7" t="s">
        <v>79</v>
      </c>
      <c r="E679" s="7" t="s">
        <v>85</v>
      </c>
      <c r="F679" s="7" t="s">
        <v>71</v>
      </c>
      <c r="G679" s="11" t="s">
        <v>55</v>
      </c>
      <c r="H679" s="11" t="s">
        <v>55</v>
      </c>
      <c r="I679" s="11" t="s">
        <v>55</v>
      </c>
      <c r="J679" s="7" t="s">
        <v>55</v>
      </c>
      <c r="K679" s="7"/>
      <c r="L679" s="14" t="str">
        <f t="shared" si="1"/>
        <v>Sim</v>
      </c>
      <c r="M679" s="11"/>
      <c r="N679" s="7"/>
      <c r="O679" s="7" t="s">
        <v>55</v>
      </c>
      <c r="P679" s="7"/>
      <c r="Q679" s="16" t="s">
        <v>55</v>
      </c>
      <c r="R679" s="16" t="s">
        <v>55</v>
      </c>
      <c r="S679" s="16" t="s">
        <v>55</v>
      </c>
      <c r="T679" s="16" t="s">
        <v>55</v>
      </c>
      <c r="U679" s="16" t="s">
        <v>55</v>
      </c>
      <c r="V679" s="16" t="s">
        <v>127</v>
      </c>
      <c r="W679" s="16"/>
      <c r="X679" s="49"/>
      <c r="Y679" s="49"/>
      <c r="Z679" s="49"/>
    </row>
    <row r="680" ht="15.0" customHeight="1">
      <c r="A680" s="7" t="s">
        <v>3090</v>
      </c>
      <c r="B680" s="7" t="s">
        <v>3091</v>
      </c>
      <c r="C680" s="7" t="s">
        <v>3092</v>
      </c>
      <c r="D680" s="7" t="s">
        <v>79</v>
      </c>
      <c r="E680" s="7" t="s">
        <v>138</v>
      </c>
      <c r="F680" s="7" t="s">
        <v>71</v>
      </c>
      <c r="G680" s="11" t="s">
        <v>55</v>
      </c>
      <c r="H680" s="11" t="s">
        <v>55</v>
      </c>
      <c r="I680" s="11" t="s">
        <v>55</v>
      </c>
      <c r="J680" s="7" t="s">
        <v>55</v>
      </c>
      <c r="K680" s="7"/>
      <c r="L680" s="14" t="str">
        <f t="shared" si="1"/>
        <v>Sim</v>
      </c>
      <c r="M680" s="11"/>
      <c r="N680" s="7"/>
      <c r="O680" s="7" t="s">
        <v>55</v>
      </c>
      <c r="P680" s="7"/>
      <c r="Q680" s="16" t="s">
        <v>55</v>
      </c>
      <c r="R680" s="16" t="s">
        <v>55</v>
      </c>
      <c r="S680" s="16" t="s">
        <v>55</v>
      </c>
      <c r="T680" s="16" t="s">
        <v>55</v>
      </c>
      <c r="U680" s="16" t="s">
        <v>55</v>
      </c>
      <c r="V680" s="16" t="s">
        <v>127</v>
      </c>
      <c r="W680" s="16"/>
      <c r="X680" s="49"/>
      <c r="Y680" s="49"/>
      <c r="Z680" s="49"/>
    </row>
    <row r="681" ht="15.0" customHeight="1">
      <c r="A681" s="7" t="s">
        <v>3093</v>
      </c>
      <c r="B681" s="7" t="s">
        <v>3094</v>
      </c>
      <c r="C681" s="7" t="s">
        <v>3095</v>
      </c>
      <c r="D681" s="7" t="s">
        <v>79</v>
      </c>
      <c r="E681" s="7" t="s">
        <v>48</v>
      </c>
      <c r="F681" s="7" t="s">
        <v>71</v>
      </c>
      <c r="G681" s="11" t="s">
        <v>55</v>
      </c>
      <c r="H681" s="11" t="s">
        <v>55</v>
      </c>
      <c r="I681" s="11" t="s">
        <v>55</v>
      </c>
      <c r="J681" s="7" t="s">
        <v>55</v>
      </c>
      <c r="K681" s="11" t="s">
        <v>3096</v>
      </c>
      <c r="L681" s="14" t="str">
        <f t="shared" si="1"/>
        <v>Não</v>
      </c>
      <c r="M681" s="7"/>
      <c r="N681" s="7"/>
      <c r="O681" s="7" t="s">
        <v>55</v>
      </c>
      <c r="P681" s="7"/>
      <c r="Q681" s="16" t="s">
        <v>55</v>
      </c>
      <c r="R681" s="16" t="s">
        <v>55</v>
      </c>
      <c r="S681" s="16" t="s">
        <v>55</v>
      </c>
      <c r="T681" s="16" t="s">
        <v>55</v>
      </c>
      <c r="U681" s="16" t="s">
        <v>55</v>
      </c>
      <c r="V681" s="16" t="s">
        <v>127</v>
      </c>
      <c r="W681" s="16" t="s">
        <v>3097</v>
      </c>
      <c r="X681" s="49"/>
      <c r="Y681" s="49"/>
      <c r="Z681" s="49"/>
    </row>
    <row r="682" ht="15.0" customHeight="1">
      <c r="A682" s="7" t="s">
        <v>3098</v>
      </c>
      <c r="B682" s="7" t="s">
        <v>3099</v>
      </c>
      <c r="C682" s="7" t="s">
        <v>3100</v>
      </c>
      <c r="D682" s="7" t="s">
        <v>79</v>
      </c>
      <c r="E682" s="7" t="s">
        <v>138</v>
      </c>
      <c r="F682" s="7" t="s">
        <v>71</v>
      </c>
      <c r="G682" s="11" t="s">
        <v>55</v>
      </c>
      <c r="H682" s="11" t="s">
        <v>55</v>
      </c>
      <c r="I682" s="11" t="s">
        <v>55</v>
      </c>
      <c r="J682" s="7" t="s">
        <v>55</v>
      </c>
      <c r="K682" s="7"/>
      <c r="L682" s="14" t="str">
        <f t="shared" si="1"/>
        <v>Sim</v>
      </c>
      <c r="M682" s="11"/>
      <c r="N682" s="7"/>
      <c r="O682" s="7" t="s">
        <v>55</v>
      </c>
      <c r="P682" s="7"/>
      <c r="Q682" s="16" t="s">
        <v>55</v>
      </c>
      <c r="R682" s="16" t="s">
        <v>55</v>
      </c>
      <c r="S682" s="16" t="s">
        <v>55</v>
      </c>
      <c r="T682" s="16" t="s">
        <v>55</v>
      </c>
      <c r="U682" s="16" t="s">
        <v>55</v>
      </c>
      <c r="V682" s="16" t="s">
        <v>127</v>
      </c>
      <c r="W682" s="16"/>
      <c r="X682" s="49"/>
      <c r="Y682" s="49"/>
      <c r="Z682" s="49"/>
    </row>
    <row r="683" ht="15.0" customHeight="1">
      <c r="A683" s="7" t="s">
        <v>353</v>
      </c>
      <c r="B683" s="7" t="s">
        <v>354</v>
      </c>
      <c r="C683" s="11" t="s">
        <v>3101</v>
      </c>
      <c r="D683" s="7" t="s">
        <v>79</v>
      </c>
      <c r="E683" s="7" t="s">
        <v>48</v>
      </c>
      <c r="F683" s="7" t="s">
        <v>71</v>
      </c>
      <c r="G683" s="11" t="s">
        <v>55</v>
      </c>
      <c r="H683" s="11" t="s">
        <v>55</v>
      </c>
      <c r="I683" s="11" t="s">
        <v>55</v>
      </c>
      <c r="J683" s="7" t="s">
        <v>55</v>
      </c>
      <c r="K683" s="7"/>
      <c r="L683" s="14" t="str">
        <f t="shared" si="1"/>
        <v>Sim</v>
      </c>
      <c r="M683" s="11" t="s">
        <v>87</v>
      </c>
      <c r="N683" s="7"/>
      <c r="O683" s="7" t="s">
        <v>55</v>
      </c>
      <c r="P683" s="7"/>
      <c r="Q683" s="16" t="s">
        <v>55</v>
      </c>
      <c r="R683" s="16" t="s">
        <v>55</v>
      </c>
      <c r="S683" s="16" t="s">
        <v>55</v>
      </c>
      <c r="T683" s="16" t="s">
        <v>55</v>
      </c>
      <c r="U683" s="16" t="s">
        <v>55</v>
      </c>
      <c r="V683" s="16" t="s">
        <v>127</v>
      </c>
      <c r="W683" s="16"/>
      <c r="X683" s="49"/>
      <c r="Y683" s="49"/>
      <c r="Z683" s="49"/>
    </row>
    <row r="684" ht="15.0" customHeight="1">
      <c r="A684" s="7" t="s">
        <v>3102</v>
      </c>
      <c r="B684" s="7" t="s">
        <v>3103</v>
      </c>
      <c r="C684" s="7" t="s">
        <v>3104</v>
      </c>
      <c r="D684" s="7" t="s">
        <v>79</v>
      </c>
      <c r="E684" s="7" t="s">
        <v>259</v>
      </c>
      <c r="F684" s="7" t="s">
        <v>71</v>
      </c>
      <c r="G684" s="11" t="s">
        <v>55</v>
      </c>
      <c r="H684" s="11" t="s">
        <v>55</v>
      </c>
      <c r="I684" s="11" t="s">
        <v>55</v>
      </c>
      <c r="J684" s="7" t="s">
        <v>55</v>
      </c>
      <c r="K684" s="11" t="s">
        <v>3105</v>
      </c>
      <c r="L684" s="14" t="str">
        <f t="shared" si="1"/>
        <v>Não</v>
      </c>
      <c r="M684" s="7"/>
      <c r="N684" s="7"/>
      <c r="O684" s="7" t="s">
        <v>55</v>
      </c>
      <c r="P684" s="7"/>
      <c r="Q684" s="16" t="s">
        <v>55</v>
      </c>
      <c r="R684" s="16" t="s">
        <v>55</v>
      </c>
      <c r="S684" s="16" t="s">
        <v>55</v>
      </c>
      <c r="T684" s="16" t="s">
        <v>55</v>
      </c>
      <c r="U684" s="16" t="s">
        <v>55</v>
      </c>
      <c r="V684" s="16" t="s">
        <v>127</v>
      </c>
      <c r="W684" s="16" t="s">
        <v>3106</v>
      </c>
      <c r="X684" s="49"/>
      <c r="Y684" s="49"/>
      <c r="Z684" s="49"/>
    </row>
    <row r="685" ht="15.0" customHeight="1">
      <c r="A685" s="7" t="s">
        <v>433</v>
      </c>
      <c r="B685" s="7" t="s">
        <v>435</v>
      </c>
      <c r="C685" s="11" t="s">
        <v>3107</v>
      </c>
      <c r="D685" s="7" t="s">
        <v>79</v>
      </c>
      <c r="E685" s="7" t="s">
        <v>138</v>
      </c>
      <c r="F685" s="7" t="s">
        <v>71</v>
      </c>
      <c r="G685" s="11" t="s">
        <v>55</v>
      </c>
      <c r="H685" s="11" t="s">
        <v>55</v>
      </c>
      <c r="I685" s="11" t="s">
        <v>55</v>
      </c>
      <c r="J685" s="7" t="s">
        <v>55</v>
      </c>
      <c r="K685" s="7"/>
      <c r="L685" s="14" t="str">
        <f t="shared" si="1"/>
        <v>Sim</v>
      </c>
      <c r="M685" s="11" t="s">
        <v>87</v>
      </c>
      <c r="N685" s="7"/>
      <c r="O685" s="7" t="s">
        <v>55</v>
      </c>
      <c r="P685" s="7"/>
      <c r="Q685" s="16" t="s">
        <v>55</v>
      </c>
      <c r="R685" s="16" t="s">
        <v>55</v>
      </c>
      <c r="S685" s="16" t="s">
        <v>55</v>
      </c>
      <c r="T685" s="16" t="s">
        <v>55</v>
      </c>
      <c r="U685" s="16" t="s">
        <v>55</v>
      </c>
      <c r="V685" s="16" t="s">
        <v>127</v>
      </c>
      <c r="W685" s="16"/>
      <c r="X685" s="49"/>
      <c r="Y685" s="49"/>
      <c r="Z685" s="49"/>
    </row>
    <row r="686" ht="15.0" customHeight="1">
      <c r="A686" s="7" t="s">
        <v>3108</v>
      </c>
      <c r="B686" s="7" t="s">
        <v>3109</v>
      </c>
      <c r="C686" s="7" t="s">
        <v>3110</v>
      </c>
      <c r="D686" s="7" t="s">
        <v>79</v>
      </c>
      <c r="E686" s="7" t="s">
        <v>138</v>
      </c>
      <c r="F686" s="7" t="s">
        <v>71</v>
      </c>
      <c r="G686" s="11" t="s">
        <v>55</v>
      </c>
      <c r="H686" s="11" t="s">
        <v>55</v>
      </c>
      <c r="I686" s="11" t="s">
        <v>55</v>
      </c>
      <c r="J686" s="7" t="s">
        <v>55</v>
      </c>
      <c r="K686" s="7"/>
      <c r="L686" s="14" t="str">
        <f t="shared" si="1"/>
        <v>Sim</v>
      </c>
      <c r="M686" s="11"/>
      <c r="N686" s="7"/>
      <c r="O686" s="7" t="s">
        <v>55</v>
      </c>
      <c r="P686" s="7"/>
      <c r="Q686" s="16" t="s">
        <v>55</v>
      </c>
      <c r="R686" s="16" t="s">
        <v>55</v>
      </c>
      <c r="S686" s="16" t="s">
        <v>55</v>
      </c>
      <c r="T686" s="16" t="s">
        <v>55</v>
      </c>
      <c r="U686" s="16" t="s">
        <v>55</v>
      </c>
      <c r="V686" s="16" t="s">
        <v>127</v>
      </c>
      <c r="W686" s="16"/>
      <c r="X686" s="49"/>
      <c r="Y686" s="49"/>
      <c r="Z686" s="49"/>
    </row>
    <row r="687" ht="15.0" customHeight="1">
      <c r="A687" s="7" t="s">
        <v>3111</v>
      </c>
      <c r="B687" s="7" t="s">
        <v>3112</v>
      </c>
      <c r="C687" s="7" t="s">
        <v>3113</v>
      </c>
      <c r="D687" s="7" t="s">
        <v>79</v>
      </c>
      <c r="E687" s="7" t="s">
        <v>194</v>
      </c>
      <c r="F687" s="7" t="s">
        <v>71</v>
      </c>
      <c r="G687" s="11" t="s">
        <v>55</v>
      </c>
      <c r="H687" s="11" t="s">
        <v>55</v>
      </c>
      <c r="I687" s="11" t="s">
        <v>55</v>
      </c>
      <c r="J687" s="7" t="s">
        <v>55</v>
      </c>
      <c r="K687" s="11" t="s">
        <v>3114</v>
      </c>
      <c r="L687" s="14" t="str">
        <f t="shared" si="1"/>
        <v>Não</v>
      </c>
      <c r="M687" s="7"/>
      <c r="N687" s="7"/>
      <c r="O687" s="7" t="s">
        <v>55</v>
      </c>
      <c r="P687" s="7"/>
      <c r="Q687" s="16" t="s">
        <v>55</v>
      </c>
      <c r="R687" s="16" t="s">
        <v>55</v>
      </c>
      <c r="S687" s="16" t="s">
        <v>55</v>
      </c>
      <c r="T687" s="16" t="s">
        <v>55</v>
      </c>
      <c r="U687" s="16" t="s">
        <v>55</v>
      </c>
      <c r="V687" s="16" t="s">
        <v>127</v>
      </c>
      <c r="W687" s="16" t="s">
        <v>3115</v>
      </c>
      <c r="X687" s="49"/>
      <c r="Y687" s="49"/>
      <c r="Z687" s="49"/>
    </row>
    <row r="688" ht="15.0" customHeight="1">
      <c r="A688" s="7" t="s">
        <v>3116</v>
      </c>
      <c r="B688" s="7" t="s">
        <v>3117</v>
      </c>
      <c r="C688" s="7" t="s">
        <v>3118</v>
      </c>
      <c r="D688" s="7" t="s">
        <v>79</v>
      </c>
      <c r="E688" s="7" t="s">
        <v>48</v>
      </c>
      <c r="F688" s="7" t="s">
        <v>71</v>
      </c>
      <c r="G688" s="11" t="s">
        <v>55</v>
      </c>
      <c r="H688" s="11" t="s">
        <v>55</v>
      </c>
      <c r="I688" s="11" t="s">
        <v>55</v>
      </c>
      <c r="J688" s="7" t="s">
        <v>55</v>
      </c>
      <c r="K688" s="11" t="s">
        <v>3119</v>
      </c>
      <c r="L688" s="14" t="str">
        <f t="shared" si="1"/>
        <v>Não</v>
      </c>
      <c r="M688" s="7"/>
      <c r="N688" s="7"/>
      <c r="O688" s="7" t="s">
        <v>55</v>
      </c>
      <c r="P688" s="7"/>
      <c r="Q688" s="16" t="s">
        <v>55</v>
      </c>
      <c r="R688" s="16" t="s">
        <v>55</v>
      </c>
      <c r="S688" s="16" t="s">
        <v>55</v>
      </c>
      <c r="T688" s="16" t="s">
        <v>55</v>
      </c>
      <c r="U688" s="16" t="s">
        <v>55</v>
      </c>
      <c r="V688" s="16" t="s">
        <v>127</v>
      </c>
      <c r="W688" s="16" t="s">
        <v>3120</v>
      </c>
      <c r="X688" s="49"/>
      <c r="Y688" s="49"/>
      <c r="Z688" s="49"/>
    </row>
    <row r="689" ht="15.0" customHeight="1">
      <c r="A689" s="7" t="s">
        <v>3121</v>
      </c>
      <c r="B689" s="7" t="s">
        <v>3122</v>
      </c>
      <c r="C689" s="7" t="s">
        <v>3123</v>
      </c>
      <c r="D689" s="7" t="s">
        <v>79</v>
      </c>
      <c r="E689" s="7" t="s">
        <v>85</v>
      </c>
      <c r="F689" s="7" t="s">
        <v>71</v>
      </c>
      <c r="G689" s="11" t="s">
        <v>55</v>
      </c>
      <c r="H689" s="11" t="s">
        <v>55</v>
      </c>
      <c r="I689" s="11" t="s">
        <v>55</v>
      </c>
      <c r="J689" s="7" t="s">
        <v>55</v>
      </c>
      <c r="K689" s="11" t="s">
        <v>3124</v>
      </c>
      <c r="L689" s="14" t="str">
        <f t="shared" si="1"/>
        <v>Não</v>
      </c>
      <c r="M689" s="7"/>
      <c r="N689" s="7"/>
      <c r="O689" s="7" t="s">
        <v>55</v>
      </c>
      <c r="P689" s="7"/>
      <c r="Q689" s="16" t="s">
        <v>55</v>
      </c>
      <c r="R689" s="16" t="s">
        <v>55</v>
      </c>
      <c r="S689" s="16" t="s">
        <v>55</v>
      </c>
      <c r="T689" s="16" t="s">
        <v>55</v>
      </c>
      <c r="U689" s="16" t="s">
        <v>55</v>
      </c>
      <c r="V689" s="16" t="s">
        <v>127</v>
      </c>
      <c r="W689" s="16" t="s">
        <v>3125</v>
      </c>
      <c r="X689" s="49"/>
      <c r="Y689" s="49"/>
      <c r="Z689" s="49"/>
    </row>
    <row r="690" ht="15.0" customHeight="1">
      <c r="A690" s="7" t="s">
        <v>3126</v>
      </c>
      <c r="B690" s="7" t="s">
        <v>3127</v>
      </c>
      <c r="C690" s="7" t="s">
        <v>3128</v>
      </c>
      <c r="D690" s="7" t="s">
        <v>79</v>
      </c>
      <c r="E690" s="7" t="s">
        <v>85</v>
      </c>
      <c r="F690" s="7" t="s">
        <v>71</v>
      </c>
      <c r="G690" s="11" t="s">
        <v>55</v>
      </c>
      <c r="H690" s="11" t="s">
        <v>55</v>
      </c>
      <c r="I690" s="11" t="s">
        <v>55</v>
      </c>
      <c r="J690" s="7" t="s">
        <v>55</v>
      </c>
      <c r="K690" s="11" t="s">
        <v>870</v>
      </c>
      <c r="L690" s="14" t="str">
        <f t="shared" si="1"/>
        <v>Não</v>
      </c>
      <c r="M690" s="7"/>
      <c r="N690" s="7"/>
      <c r="O690" s="7" t="s">
        <v>55</v>
      </c>
      <c r="P690" s="7"/>
      <c r="Q690" s="16" t="s">
        <v>55</v>
      </c>
      <c r="R690" s="16" t="s">
        <v>55</v>
      </c>
      <c r="S690" s="16" t="s">
        <v>55</v>
      </c>
      <c r="T690" s="16" t="s">
        <v>55</v>
      </c>
      <c r="U690" s="16" t="s">
        <v>55</v>
      </c>
      <c r="V690" s="16" t="s">
        <v>127</v>
      </c>
      <c r="W690" s="16" t="s">
        <v>3129</v>
      </c>
      <c r="X690" s="49"/>
      <c r="Y690" s="49"/>
      <c r="Z690" s="49"/>
    </row>
    <row r="691" ht="15.0" customHeight="1">
      <c r="A691" s="7" t="s">
        <v>3130</v>
      </c>
      <c r="B691" s="7" t="s">
        <v>3131</v>
      </c>
      <c r="C691" s="7" t="s">
        <v>3132</v>
      </c>
      <c r="D691" s="7" t="s">
        <v>79</v>
      </c>
      <c r="E691" s="7" t="s">
        <v>165</v>
      </c>
      <c r="F691" s="7" t="s">
        <v>71</v>
      </c>
      <c r="G691" s="11" t="s">
        <v>55</v>
      </c>
      <c r="H691" s="11" t="s">
        <v>55</v>
      </c>
      <c r="I691" s="11" t="s">
        <v>55</v>
      </c>
      <c r="J691" s="7" t="s">
        <v>55</v>
      </c>
      <c r="K691" s="11" t="s">
        <v>3133</v>
      </c>
      <c r="L691" s="14" t="str">
        <f t="shared" si="1"/>
        <v>Não</v>
      </c>
      <c r="M691" s="7"/>
      <c r="N691" s="7"/>
      <c r="O691" s="7" t="s">
        <v>55</v>
      </c>
      <c r="P691" s="7"/>
      <c r="Q691" s="16" t="s">
        <v>55</v>
      </c>
      <c r="R691" s="16" t="s">
        <v>55</v>
      </c>
      <c r="S691" s="16" t="s">
        <v>55</v>
      </c>
      <c r="T691" s="16" t="s">
        <v>55</v>
      </c>
      <c r="U691" s="16" t="s">
        <v>55</v>
      </c>
      <c r="V691" s="16" t="s">
        <v>127</v>
      </c>
      <c r="W691" s="16" t="s">
        <v>3134</v>
      </c>
      <c r="X691" s="49"/>
      <c r="Y691" s="49"/>
      <c r="Z691" s="49"/>
    </row>
    <row r="692" ht="15.0" customHeight="1">
      <c r="A692" s="7" t="s">
        <v>3135</v>
      </c>
      <c r="B692" s="7" t="s">
        <v>3136</v>
      </c>
      <c r="C692" s="7" t="s">
        <v>3137</v>
      </c>
      <c r="D692" s="7" t="s">
        <v>79</v>
      </c>
      <c r="E692" s="7" t="s">
        <v>138</v>
      </c>
      <c r="F692" s="7" t="s">
        <v>71</v>
      </c>
      <c r="G692" s="11" t="s">
        <v>55</v>
      </c>
      <c r="H692" s="11" t="s">
        <v>55</v>
      </c>
      <c r="I692" s="11" t="s">
        <v>55</v>
      </c>
      <c r="J692" s="7" t="s">
        <v>55</v>
      </c>
      <c r="K692" s="11" t="s">
        <v>870</v>
      </c>
      <c r="L692" s="14" t="str">
        <f t="shared" si="1"/>
        <v>Não</v>
      </c>
      <c r="M692" s="7"/>
      <c r="N692" s="7"/>
      <c r="O692" s="7" t="s">
        <v>55</v>
      </c>
      <c r="P692" s="7"/>
      <c r="Q692" s="16" t="s">
        <v>55</v>
      </c>
      <c r="R692" s="16" t="s">
        <v>55</v>
      </c>
      <c r="S692" s="16" t="s">
        <v>55</v>
      </c>
      <c r="T692" s="16" t="s">
        <v>55</v>
      </c>
      <c r="U692" s="16" t="s">
        <v>55</v>
      </c>
      <c r="V692" s="16" t="s">
        <v>127</v>
      </c>
      <c r="W692" s="16" t="s">
        <v>3138</v>
      </c>
      <c r="X692" s="49"/>
      <c r="Y692" s="49"/>
      <c r="Z692" s="49"/>
    </row>
    <row r="693" ht="15.0" customHeight="1">
      <c r="A693" s="7" t="s">
        <v>3139</v>
      </c>
      <c r="B693" s="7" t="s">
        <v>3140</v>
      </c>
      <c r="C693" s="7" t="s">
        <v>3141</v>
      </c>
      <c r="D693" s="7" t="s">
        <v>79</v>
      </c>
      <c r="E693" s="7" t="s">
        <v>85</v>
      </c>
      <c r="F693" s="7" t="s">
        <v>71</v>
      </c>
      <c r="G693" s="11" t="s">
        <v>55</v>
      </c>
      <c r="H693" s="11" t="s">
        <v>55</v>
      </c>
      <c r="I693" s="11" t="s">
        <v>55</v>
      </c>
      <c r="J693" s="7" t="s">
        <v>55</v>
      </c>
      <c r="K693" s="7"/>
      <c r="L693" s="14" t="str">
        <f t="shared" si="1"/>
        <v>Sim</v>
      </c>
      <c r="M693" s="11"/>
      <c r="N693" s="7"/>
      <c r="O693" s="7" t="s">
        <v>55</v>
      </c>
      <c r="P693" s="7"/>
      <c r="Q693" s="16" t="s">
        <v>55</v>
      </c>
      <c r="R693" s="16" t="s">
        <v>55</v>
      </c>
      <c r="S693" s="16" t="s">
        <v>55</v>
      </c>
      <c r="T693" s="16" t="s">
        <v>55</v>
      </c>
      <c r="U693" s="16" t="s">
        <v>55</v>
      </c>
      <c r="V693" s="16" t="s">
        <v>127</v>
      </c>
      <c r="W693" s="16"/>
      <c r="X693" s="49"/>
      <c r="Y693" s="49"/>
      <c r="Z693" s="49"/>
    </row>
    <row r="694" ht="15.0" customHeight="1">
      <c r="A694" s="7" t="s">
        <v>3142</v>
      </c>
      <c r="B694" s="7" t="s">
        <v>3143</v>
      </c>
      <c r="C694" s="7" t="s">
        <v>3144</v>
      </c>
      <c r="D694" s="7" t="s">
        <v>79</v>
      </c>
      <c r="E694" s="7" t="s">
        <v>85</v>
      </c>
      <c r="F694" s="7" t="s">
        <v>71</v>
      </c>
      <c r="G694" s="11" t="s">
        <v>55</v>
      </c>
      <c r="H694" s="11" t="s">
        <v>55</v>
      </c>
      <c r="I694" s="11" t="s">
        <v>55</v>
      </c>
      <c r="J694" s="7" t="s">
        <v>55</v>
      </c>
      <c r="K694" s="7"/>
      <c r="L694" s="14" t="str">
        <f t="shared" si="1"/>
        <v>Sim</v>
      </c>
      <c r="M694" s="11"/>
      <c r="N694" s="7"/>
      <c r="O694" s="7" t="s">
        <v>55</v>
      </c>
      <c r="P694" s="7"/>
      <c r="Q694" s="16" t="s">
        <v>55</v>
      </c>
      <c r="R694" s="16" t="s">
        <v>55</v>
      </c>
      <c r="S694" s="16" t="s">
        <v>55</v>
      </c>
      <c r="T694" s="16" t="s">
        <v>55</v>
      </c>
      <c r="U694" s="16" t="s">
        <v>55</v>
      </c>
      <c r="V694" s="16" t="s">
        <v>184</v>
      </c>
      <c r="W694" s="16"/>
      <c r="X694" s="49"/>
      <c r="Y694" s="49"/>
      <c r="Z694" s="49"/>
    </row>
    <row r="695" ht="15.0" customHeight="1">
      <c r="A695" s="7" t="s">
        <v>3145</v>
      </c>
      <c r="B695" s="7" t="s">
        <v>3146</v>
      </c>
      <c r="C695" s="7" t="s">
        <v>3147</v>
      </c>
      <c r="D695" s="7" t="s">
        <v>79</v>
      </c>
      <c r="E695" s="7" t="s">
        <v>315</v>
      </c>
      <c r="F695" s="7" t="s">
        <v>71</v>
      </c>
      <c r="G695" s="11" t="s">
        <v>55</v>
      </c>
      <c r="H695" s="11" t="s">
        <v>55</v>
      </c>
      <c r="I695" s="11" t="s">
        <v>55</v>
      </c>
      <c r="J695" s="7" t="s">
        <v>55</v>
      </c>
      <c r="K695" s="11" t="s">
        <v>3148</v>
      </c>
      <c r="L695" s="14" t="str">
        <f t="shared" si="1"/>
        <v>Não</v>
      </c>
      <c r="M695" s="7"/>
      <c r="N695" s="7"/>
      <c r="O695" s="7" t="s">
        <v>55</v>
      </c>
      <c r="P695" s="7"/>
      <c r="Q695" s="16" t="s">
        <v>55</v>
      </c>
      <c r="R695" s="16" t="s">
        <v>55</v>
      </c>
      <c r="S695" s="16" t="s">
        <v>55</v>
      </c>
      <c r="T695" s="16" t="s">
        <v>55</v>
      </c>
      <c r="U695" s="16" t="s">
        <v>55</v>
      </c>
      <c r="V695" s="16" t="s">
        <v>127</v>
      </c>
      <c r="W695" s="16" t="s">
        <v>3149</v>
      </c>
      <c r="X695" s="49"/>
      <c r="Y695" s="49"/>
      <c r="Z695" s="49"/>
    </row>
    <row r="696" ht="15.0" customHeight="1">
      <c r="A696" s="7" t="s">
        <v>3150</v>
      </c>
      <c r="B696" s="7" t="s">
        <v>3151</v>
      </c>
      <c r="C696" s="7" t="s">
        <v>3152</v>
      </c>
      <c r="D696" s="7" t="s">
        <v>79</v>
      </c>
      <c r="E696" s="7" t="s">
        <v>85</v>
      </c>
      <c r="F696" s="7" t="s">
        <v>71</v>
      </c>
      <c r="G696" s="11" t="s">
        <v>55</v>
      </c>
      <c r="H696" s="11" t="s">
        <v>55</v>
      </c>
      <c r="I696" s="11" t="s">
        <v>55</v>
      </c>
      <c r="J696" s="7" t="s">
        <v>55</v>
      </c>
      <c r="K696" s="11" t="s">
        <v>3153</v>
      </c>
      <c r="L696" s="14" t="str">
        <f t="shared" si="1"/>
        <v>Não</v>
      </c>
      <c r="M696" s="7"/>
      <c r="N696" s="7"/>
      <c r="O696" s="7" t="s">
        <v>55</v>
      </c>
      <c r="P696" s="7"/>
      <c r="Q696" s="16" t="s">
        <v>55</v>
      </c>
      <c r="R696" s="16" t="s">
        <v>55</v>
      </c>
      <c r="S696" s="16" t="s">
        <v>55</v>
      </c>
      <c r="T696" s="16" t="s">
        <v>55</v>
      </c>
      <c r="U696" s="16" t="s">
        <v>55</v>
      </c>
      <c r="V696" s="16" t="s">
        <v>127</v>
      </c>
      <c r="W696" s="16" t="s">
        <v>3154</v>
      </c>
      <c r="X696" s="49"/>
      <c r="Y696" s="49"/>
      <c r="Z696" s="49"/>
    </row>
    <row r="697" ht="15.0" customHeight="1">
      <c r="A697" s="7" t="s">
        <v>3155</v>
      </c>
      <c r="B697" s="7" t="s">
        <v>3156</v>
      </c>
      <c r="C697" s="7" t="s">
        <v>3157</v>
      </c>
      <c r="D697" s="7" t="s">
        <v>79</v>
      </c>
      <c r="E697" s="7" t="s">
        <v>138</v>
      </c>
      <c r="F697" s="7" t="s">
        <v>71</v>
      </c>
      <c r="G697" s="11" t="s">
        <v>55</v>
      </c>
      <c r="H697" s="11" t="s">
        <v>55</v>
      </c>
      <c r="I697" s="11" t="s">
        <v>55</v>
      </c>
      <c r="J697" s="7" t="s">
        <v>55</v>
      </c>
      <c r="K697" s="7"/>
      <c r="L697" s="14" t="str">
        <f t="shared" si="1"/>
        <v>Sim</v>
      </c>
      <c r="M697" s="11"/>
      <c r="N697" s="7"/>
      <c r="O697" s="7" t="s">
        <v>55</v>
      </c>
      <c r="P697" s="7"/>
      <c r="Q697" s="16" t="s">
        <v>55</v>
      </c>
      <c r="R697" s="16" t="s">
        <v>55</v>
      </c>
      <c r="S697" s="16" t="s">
        <v>55</v>
      </c>
      <c r="T697" s="16" t="s">
        <v>55</v>
      </c>
      <c r="U697" s="16" t="s">
        <v>55</v>
      </c>
      <c r="V697" s="16" t="s">
        <v>127</v>
      </c>
      <c r="W697" s="16"/>
      <c r="X697" s="49"/>
      <c r="Y697" s="49"/>
      <c r="Z697" s="49"/>
    </row>
    <row r="698" ht="15.0" customHeight="1">
      <c r="A698" s="7" t="s">
        <v>3158</v>
      </c>
      <c r="B698" s="7" t="s">
        <v>3159</v>
      </c>
      <c r="C698" s="7" t="s">
        <v>3160</v>
      </c>
      <c r="D698" s="7" t="s">
        <v>79</v>
      </c>
      <c r="E698" s="7" t="s">
        <v>259</v>
      </c>
      <c r="F698" s="7" t="s">
        <v>71</v>
      </c>
      <c r="G698" s="11" t="s">
        <v>55</v>
      </c>
      <c r="H698" s="11" t="s">
        <v>55</v>
      </c>
      <c r="I698" s="11" t="s">
        <v>55</v>
      </c>
      <c r="J698" s="7" t="s">
        <v>55</v>
      </c>
      <c r="K698" s="7"/>
      <c r="L698" s="14" t="str">
        <f t="shared" si="1"/>
        <v>Sim</v>
      </c>
      <c r="M698" s="11"/>
      <c r="N698" s="7"/>
      <c r="O698" s="7" t="s">
        <v>55</v>
      </c>
      <c r="P698" s="7"/>
      <c r="Q698" s="16" t="s">
        <v>55</v>
      </c>
      <c r="R698" s="16" t="s">
        <v>55</v>
      </c>
      <c r="S698" s="16" t="s">
        <v>55</v>
      </c>
      <c r="T698" s="16" t="s">
        <v>55</v>
      </c>
      <c r="U698" s="16" t="s">
        <v>55</v>
      </c>
      <c r="V698" s="16" t="s">
        <v>127</v>
      </c>
      <c r="W698" s="16"/>
      <c r="X698" s="49"/>
      <c r="Y698" s="49"/>
      <c r="Z698" s="49"/>
    </row>
    <row r="699" ht="15.0" customHeight="1">
      <c r="A699" s="7" t="s">
        <v>3161</v>
      </c>
      <c r="B699" s="7" t="s">
        <v>3162</v>
      </c>
      <c r="C699" s="7" t="s">
        <v>3163</v>
      </c>
      <c r="D699" s="7" t="s">
        <v>79</v>
      </c>
      <c r="E699" s="7" t="s">
        <v>148</v>
      </c>
      <c r="F699" s="7" t="s">
        <v>71</v>
      </c>
      <c r="G699" s="11" t="s">
        <v>55</v>
      </c>
      <c r="H699" s="11" t="s">
        <v>55</v>
      </c>
      <c r="I699" s="11" t="s">
        <v>55</v>
      </c>
      <c r="J699" s="7" t="s">
        <v>55</v>
      </c>
      <c r="K699" s="7"/>
      <c r="L699" s="14" t="str">
        <f t="shared" si="1"/>
        <v>Sim</v>
      </c>
      <c r="M699" s="11"/>
      <c r="N699" s="7"/>
      <c r="O699" s="7" t="s">
        <v>55</v>
      </c>
      <c r="P699" s="7"/>
      <c r="Q699" s="16" t="s">
        <v>55</v>
      </c>
      <c r="R699" s="16" t="s">
        <v>55</v>
      </c>
      <c r="S699" s="16" t="s">
        <v>55</v>
      </c>
      <c r="T699" s="16" t="s">
        <v>55</v>
      </c>
      <c r="U699" s="16" t="s">
        <v>55</v>
      </c>
      <c r="V699" s="16" t="s">
        <v>127</v>
      </c>
      <c r="W699" s="16"/>
      <c r="X699" s="49"/>
      <c r="Y699" s="49"/>
      <c r="Z699" s="49"/>
    </row>
    <row r="700" ht="15.0" customHeight="1">
      <c r="A700" s="7" t="s">
        <v>3164</v>
      </c>
      <c r="B700" s="7" t="s">
        <v>3165</v>
      </c>
      <c r="C700" s="7" t="s">
        <v>3166</v>
      </c>
      <c r="D700" s="7" t="s">
        <v>79</v>
      </c>
      <c r="E700" s="7" t="s">
        <v>85</v>
      </c>
      <c r="F700" s="7" t="s">
        <v>71</v>
      </c>
      <c r="G700" s="11" t="s">
        <v>55</v>
      </c>
      <c r="H700" s="11" t="s">
        <v>55</v>
      </c>
      <c r="I700" s="11" t="s">
        <v>55</v>
      </c>
      <c r="J700" s="7" t="s">
        <v>55</v>
      </c>
      <c r="K700" s="7"/>
      <c r="L700" s="14" t="str">
        <f t="shared" si="1"/>
        <v>Sim</v>
      </c>
      <c r="M700" s="11"/>
      <c r="N700" s="7"/>
      <c r="O700" s="7" t="s">
        <v>55</v>
      </c>
      <c r="P700" s="7"/>
      <c r="Q700" s="16" t="s">
        <v>55</v>
      </c>
      <c r="R700" s="16" t="s">
        <v>55</v>
      </c>
      <c r="S700" s="16" t="s">
        <v>55</v>
      </c>
      <c r="T700" s="16" t="s">
        <v>55</v>
      </c>
      <c r="U700" s="16" t="s">
        <v>55</v>
      </c>
      <c r="V700" s="16" t="s">
        <v>127</v>
      </c>
      <c r="W700" s="16"/>
      <c r="X700" s="49"/>
      <c r="Y700" s="49"/>
      <c r="Z700" s="49"/>
    </row>
    <row r="701" ht="15.0" customHeight="1">
      <c r="A701" s="7" t="s">
        <v>3167</v>
      </c>
      <c r="B701" s="7" t="s">
        <v>3168</v>
      </c>
      <c r="C701" s="7" t="s">
        <v>3169</v>
      </c>
      <c r="D701" s="7" t="s">
        <v>79</v>
      </c>
      <c r="E701" s="7" t="s">
        <v>85</v>
      </c>
      <c r="F701" s="7" t="s">
        <v>71</v>
      </c>
      <c r="G701" s="11" t="s">
        <v>55</v>
      </c>
      <c r="H701" s="11" t="s">
        <v>55</v>
      </c>
      <c r="I701" s="11" t="s">
        <v>55</v>
      </c>
      <c r="J701" s="7" t="s">
        <v>55</v>
      </c>
      <c r="K701" s="11" t="s">
        <v>3170</v>
      </c>
      <c r="L701" s="14" t="str">
        <f t="shared" si="1"/>
        <v>Não</v>
      </c>
      <c r="M701" s="7"/>
      <c r="N701" s="7"/>
      <c r="O701" s="7" t="s">
        <v>55</v>
      </c>
      <c r="P701" s="7"/>
      <c r="Q701" s="16" t="s">
        <v>55</v>
      </c>
      <c r="R701" s="16" t="s">
        <v>55</v>
      </c>
      <c r="S701" s="16" t="s">
        <v>55</v>
      </c>
      <c r="T701" s="16" t="s">
        <v>55</v>
      </c>
      <c r="U701" s="16" t="s">
        <v>55</v>
      </c>
      <c r="V701" s="16" t="s">
        <v>127</v>
      </c>
      <c r="W701" s="16" t="s">
        <v>3171</v>
      </c>
      <c r="X701" s="49"/>
      <c r="Y701" s="49"/>
      <c r="Z701" s="49"/>
    </row>
    <row r="702" ht="15.0" customHeight="1">
      <c r="A702" s="7" t="s">
        <v>3172</v>
      </c>
      <c r="B702" s="7" t="s">
        <v>3173</v>
      </c>
      <c r="C702" s="7" t="s">
        <v>3174</v>
      </c>
      <c r="D702" s="7" t="s">
        <v>79</v>
      </c>
      <c r="E702" s="7" t="s">
        <v>85</v>
      </c>
      <c r="F702" s="7" t="s">
        <v>71</v>
      </c>
      <c r="G702" s="11" t="s">
        <v>55</v>
      </c>
      <c r="H702" s="11" t="s">
        <v>55</v>
      </c>
      <c r="I702" s="11" t="s">
        <v>55</v>
      </c>
      <c r="J702" s="7" t="s">
        <v>55</v>
      </c>
      <c r="K702" s="7"/>
      <c r="L702" s="14" t="str">
        <f t="shared" si="1"/>
        <v>Sim</v>
      </c>
      <c r="M702" s="11"/>
      <c r="N702" s="7"/>
      <c r="O702" s="7" t="s">
        <v>55</v>
      </c>
      <c r="P702" s="7"/>
      <c r="Q702" s="16" t="s">
        <v>55</v>
      </c>
      <c r="R702" s="16" t="s">
        <v>55</v>
      </c>
      <c r="S702" s="16" t="s">
        <v>55</v>
      </c>
      <c r="T702" s="16" t="s">
        <v>55</v>
      </c>
      <c r="U702" s="16" t="s">
        <v>55</v>
      </c>
      <c r="V702" s="16" t="s">
        <v>127</v>
      </c>
      <c r="W702" s="16"/>
      <c r="X702" s="49"/>
      <c r="Y702" s="49"/>
      <c r="Z702" s="49"/>
    </row>
    <row r="703" ht="15.0" customHeight="1">
      <c r="A703" s="7" t="s">
        <v>3175</v>
      </c>
      <c r="B703" s="7" t="s">
        <v>3176</v>
      </c>
      <c r="C703" s="7" t="s">
        <v>3177</v>
      </c>
      <c r="D703" s="7" t="s">
        <v>79</v>
      </c>
      <c r="E703" s="7" t="s">
        <v>85</v>
      </c>
      <c r="F703" s="7" t="s">
        <v>71</v>
      </c>
      <c r="G703" s="11" t="s">
        <v>55</v>
      </c>
      <c r="H703" s="11" t="s">
        <v>55</v>
      </c>
      <c r="I703" s="11" t="s">
        <v>55</v>
      </c>
      <c r="J703" s="7" t="s">
        <v>55</v>
      </c>
      <c r="K703" s="7"/>
      <c r="L703" s="14" t="str">
        <f t="shared" si="1"/>
        <v>Sim</v>
      </c>
      <c r="M703" s="11"/>
      <c r="N703" s="7"/>
      <c r="O703" s="7" t="s">
        <v>55</v>
      </c>
      <c r="P703" s="7"/>
      <c r="Q703" s="16" t="s">
        <v>55</v>
      </c>
      <c r="R703" s="16" t="s">
        <v>55</v>
      </c>
      <c r="S703" s="16" t="s">
        <v>55</v>
      </c>
      <c r="T703" s="16" t="s">
        <v>55</v>
      </c>
      <c r="U703" s="16" t="s">
        <v>55</v>
      </c>
      <c r="V703" s="16" t="s">
        <v>184</v>
      </c>
      <c r="W703" s="16"/>
      <c r="X703" s="49"/>
      <c r="Y703" s="49"/>
      <c r="Z703" s="49"/>
    </row>
    <row r="704" ht="15.0" customHeight="1">
      <c r="A704" s="7" t="s">
        <v>3178</v>
      </c>
      <c r="B704" s="7" t="s">
        <v>3179</v>
      </c>
      <c r="C704" s="7" t="s">
        <v>3180</v>
      </c>
      <c r="D704" s="7" t="s">
        <v>79</v>
      </c>
      <c r="E704" s="7" t="s">
        <v>337</v>
      </c>
      <c r="F704" s="7" t="s">
        <v>71</v>
      </c>
      <c r="G704" s="11" t="s">
        <v>55</v>
      </c>
      <c r="H704" s="11" t="s">
        <v>55</v>
      </c>
      <c r="I704" s="11" t="s">
        <v>55</v>
      </c>
      <c r="J704" s="7" t="s">
        <v>57</v>
      </c>
      <c r="K704" s="7"/>
      <c r="L704" s="14" t="str">
        <f t="shared" si="1"/>
        <v>Não</v>
      </c>
      <c r="M704" s="7"/>
      <c r="N704" s="7"/>
      <c r="O704" s="7" t="s">
        <v>55</v>
      </c>
      <c r="P704" s="7"/>
      <c r="Q704" s="16" t="s">
        <v>55</v>
      </c>
      <c r="R704" s="16" t="s">
        <v>55</v>
      </c>
      <c r="S704" s="16" t="s">
        <v>55</v>
      </c>
      <c r="T704" s="16" t="s">
        <v>57</v>
      </c>
      <c r="U704" s="16" t="s">
        <v>57</v>
      </c>
      <c r="V704" s="16" t="s">
        <v>1747</v>
      </c>
      <c r="W704" s="16"/>
      <c r="X704" s="49"/>
      <c r="Y704" s="49"/>
      <c r="Z704" s="49"/>
    </row>
    <row r="705" ht="15.0" customHeight="1">
      <c r="A705" s="7" t="s">
        <v>3181</v>
      </c>
      <c r="B705" s="7" t="s">
        <v>3182</v>
      </c>
      <c r="C705" s="7" t="s">
        <v>3183</v>
      </c>
      <c r="D705" s="7" t="s">
        <v>79</v>
      </c>
      <c r="E705" s="7" t="s">
        <v>267</v>
      </c>
      <c r="F705" s="7" t="s">
        <v>71</v>
      </c>
      <c r="G705" s="11" t="s">
        <v>55</v>
      </c>
      <c r="H705" s="11" t="s">
        <v>55</v>
      </c>
      <c r="I705" s="11" t="s">
        <v>55</v>
      </c>
      <c r="J705" s="7" t="s">
        <v>55</v>
      </c>
      <c r="K705" s="11" t="s">
        <v>2842</v>
      </c>
      <c r="L705" s="14" t="str">
        <f t="shared" si="1"/>
        <v>Não</v>
      </c>
      <c r="M705" s="7"/>
      <c r="N705" s="7"/>
      <c r="O705" s="7" t="s">
        <v>55</v>
      </c>
      <c r="P705" s="7"/>
      <c r="Q705" s="16" t="s">
        <v>55</v>
      </c>
      <c r="R705" s="16" t="s">
        <v>55</v>
      </c>
      <c r="S705" s="16" t="s">
        <v>55</v>
      </c>
      <c r="T705" s="16" t="s">
        <v>55</v>
      </c>
      <c r="U705" s="16" t="s">
        <v>55</v>
      </c>
      <c r="V705" s="16" t="s">
        <v>127</v>
      </c>
      <c r="W705" s="16" t="s">
        <v>3184</v>
      </c>
      <c r="X705" s="49"/>
      <c r="Y705" s="49"/>
      <c r="Z705" s="49"/>
    </row>
    <row r="706" ht="15.0" customHeight="1">
      <c r="A706" s="7" t="s">
        <v>491</v>
      </c>
      <c r="B706" s="7" t="s">
        <v>492</v>
      </c>
      <c r="C706" s="11" t="s">
        <v>3185</v>
      </c>
      <c r="D706" s="7" t="s">
        <v>79</v>
      </c>
      <c r="E706" s="7" t="s">
        <v>267</v>
      </c>
      <c r="F706" s="7" t="s">
        <v>71</v>
      </c>
      <c r="G706" s="11" t="s">
        <v>55</v>
      </c>
      <c r="H706" s="11" t="s">
        <v>55</v>
      </c>
      <c r="I706" s="11" t="s">
        <v>55</v>
      </c>
      <c r="J706" s="7" t="s">
        <v>55</v>
      </c>
      <c r="K706" s="7"/>
      <c r="L706" s="14" t="str">
        <f t="shared" si="1"/>
        <v>Sim</v>
      </c>
      <c r="M706" s="11" t="s">
        <v>87</v>
      </c>
      <c r="N706" s="7"/>
      <c r="O706" s="7" t="s">
        <v>55</v>
      </c>
      <c r="P706" s="7"/>
      <c r="Q706" s="16" t="s">
        <v>55</v>
      </c>
      <c r="R706" s="16" t="s">
        <v>55</v>
      </c>
      <c r="S706" s="16" t="s">
        <v>55</v>
      </c>
      <c r="T706" s="16" t="s">
        <v>55</v>
      </c>
      <c r="U706" s="16" t="s">
        <v>55</v>
      </c>
      <c r="V706" s="16" t="s">
        <v>127</v>
      </c>
      <c r="W706" s="16"/>
      <c r="X706" s="49"/>
      <c r="Y706" s="49"/>
      <c r="Z706" s="49"/>
    </row>
    <row r="707" ht="15.0" customHeight="1">
      <c r="A707" s="7" t="s">
        <v>551</v>
      </c>
      <c r="B707" s="7" t="s">
        <v>552</v>
      </c>
      <c r="C707" s="11" t="s">
        <v>3186</v>
      </c>
      <c r="D707" s="7" t="s">
        <v>79</v>
      </c>
      <c r="E707" s="7" t="s">
        <v>85</v>
      </c>
      <c r="F707" s="7" t="s">
        <v>71</v>
      </c>
      <c r="G707" s="11" t="s">
        <v>55</v>
      </c>
      <c r="H707" s="11" t="s">
        <v>55</v>
      </c>
      <c r="I707" s="11" t="s">
        <v>55</v>
      </c>
      <c r="J707" s="7" t="s">
        <v>55</v>
      </c>
      <c r="K707" s="7"/>
      <c r="L707" s="14" t="str">
        <f t="shared" si="1"/>
        <v>Sim</v>
      </c>
      <c r="M707" s="11" t="s">
        <v>87</v>
      </c>
      <c r="N707" s="7"/>
      <c r="O707" s="7" t="s">
        <v>55</v>
      </c>
      <c r="P707" s="7"/>
      <c r="Q707" s="16" t="s">
        <v>55</v>
      </c>
      <c r="R707" s="16" t="s">
        <v>55</v>
      </c>
      <c r="S707" s="16" t="s">
        <v>55</v>
      </c>
      <c r="T707" s="16" t="s">
        <v>55</v>
      </c>
      <c r="U707" s="16" t="s">
        <v>55</v>
      </c>
      <c r="V707" s="16" t="s">
        <v>127</v>
      </c>
      <c r="W707" s="16"/>
      <c r="X707" s="49"/>
      <c r="Y707" s="49"/>
      <c r="Z707" s="49"/>
    </row>
    <row r="708" ht="15.0" customHeight="1">
      <c r="A708" s="7" t="s">
        <v>3187</v>
      </c>
      <c r="B708" s="7" t="s">
        <v>3188</v>
      </c>
      <c r="C708" s="7" t="s">
        <v>3189</v>
      </c>
      <c r="D708" s="7" t="s">
        <v>79</v>
      </c>
      <c r="E708" s="7" t="s">
        <v>259</v>
      </c>
      <c r="F708" s="7" t="s">
        <v>71</v>
      </c>
      <c r="G708" s="11" t="s">
        <v>55</v>
      </c>
      <c r="H708" s="11" t="s">
        <v>55</v>
      </c>
      <c r="I708" s="11" t="s">
        <v>55</v>
      </c>
      <c r="J708" s="7" t="s">
        <v>55</v>
      </c>
      <c r="K708" s="11" t="s">
        <v>3190</v>
      </c>
      <c r="L708" s="14" t="str">
        <f t="shared" si="1"/>
        <v>Não</v>
      </c>
      <c r="M708" s="7"/>
      <c r="N708" s="7"/>
      <c r="O708" s="7" t="s">
        <v>55</v>
      </c>
      <c r="P708" s="7"/>
      <c r="Q708" s="16" t="s">
        <v>55</v>
      </c>
      <c r="R708" s="16" t="s">
        <v>55</v>
      </c>
      <c r="S708" s="16" t="s">
        <v>55</v>
      </c>
      <c r="T708" s="16" t="s">
        <v>55</v>
      </c>
      <c r="U708" s="16" t="s">
        <v>55</v>
      </c>
      <c r="V708" s="16" t="s">
        <v>127</v>
      </c>
      <c r="W708" s="16" t="s">
        <v>3191</v>
      </c>
      <c r="X708" s="49"/>
      <c r="Y708" s="49"/>
      <c r="Z708" s="49"/>
    </row>
    <row r="709" ht="15.0" customHeight="1">
      <c r="A709" s="7" t="s">
        <v>618</v>
      </c>
      <c r="B709" s="7" t="s">
        <v>619</v>
      </c>
      <c r="C709" s="7" t="s">
        <v>3192</v>
      </c>
      <c r="D709" s="7" t="s">
        <v>79</v>
      </c>
      <c r="E709" s="7" t="s">
        <v>259</v>
      </c>
      <c r="F709" s="7" t="s">
        <v>71</v>
      </c>
      <c r="G709" s="11" t="s">
        <v>55</v>
      </c>
      <c r="H709" s="11" t="s">
        <v>55</v>
      </c>
      <c r="I709" s="11" t="s">
        <v>55</v>
      </c>
      <c r="J709" s="7" t="s">
        <v>55</v>
      </c>
      <c r="K709" s="7"/>
      <c r="L709" s="14" t="str">
        <f t="shared" si="1"/>
        <v>Sim</v>
      </c>
      <c r="M709" s="11" t="s">
        <v>87</v>
      </c>
      <c r="N709" s="7"/>
      <c r="O709" s="7" t="s">
        <v>55</v>
      </c>
      <c r="P709" s="7"/>
      <c r="Q709" s="16" t="s">
        <v>55</v>
      </c>
      <c r="R709" s="16" t="s">
        <v>55</v>
      </c>
      <c r="S709" s="16" t="s">
        <v>55</v>
      </c>
      <c r="T709" s="16" t="s">
        <v>55</v>
      </c>
      <c r="U709" s="16" t="s">
        <v>55</v>
      </c>
      <c r="V709" s="16" t="s">
        <v>127</v>
      </c>
      <c r="W709" s="16"/>
      <c r="X709" s="49"/>
      <c r="Y709" s="49"/>
      <c r="Z709" s="49"/>
    </row>
    <row r="710" ht="15.0" customHeight="1">
      <c r="A710" s="7" t="s">
        <v>3193</v>
      </c>
      <c r="B710" s="7" t="s">
        <v>3194</v>
      </c>
      <c r="C710" s="7" t="s">
        <v>3195</v>
      </c>
      <c r="D710" s="7" t="s">
        <v>79</v>
      </c>
      <c r="E710" s="7" t="s">
        <v>259</v>
      </c>
      <c r="F710" s="7" t="s">
        <v>71</v>
      </c>
      <c r="G710" s="11" t="s">
        <v>55</v>
      </c>
      <c r="H710" s="11" t="s">
        <v>55</v>
      </c>
      <c r="I710" s="11" t="s">
        <v>55</v>
      </c>
      <c r="J710" s="7" t="s">
        <v>55</v>
      </c>
      <c r="K710" s="7"/>
      <c r="L710" s="14" t="str">
        <f t="shared" si="1"/>
        <v>Sim</v>
      </c>
      <c r="M710" s="11"/>
      <c r="N710" s="7"/>
      <c r="O710" s="7" t="s">
        <v>55</v>
      </c>
      <c r="P710" s="7"/>
      <c r="Q710" s="16" t="s">
        <v>55</v>
      </c>
      <c r="R710" s="16" t="s">
        <v>55</v>
      </c>
      <c r="S710" s="16" t="s">
        <v>55</v>
      </c>
      <c r="T710" s="16" t="s">
        <v>55</v>
      </c>
      <c r="U710" s="16" t="s">
        <v>55</v>
      </c>
      <c r="V710" s="16" t="s">
        <v>127</v>
      </c>
      <c r="W710" s="16"/>
      <c r="X710" s="49"/>
      <c r="Y710" s="49"/>
      <c r="Z710" s="49"/>
    </row>
    <row r="711" ht="15.0" customHeight="1">
      <c r="A711" s="7" t="s">
        <v>682</v>
      </c>
      <c r="B711" s="7" t="s">
        <v>683</v>
      </c>
      <c r="C711" s="11" t="s">
        <v>3196</v>
      </c>
      <c r="D711" s="7" t="s">
        <v>79</v>
      </c>
      <c r="E711" s="7" t="s">
        <v>291</v>
      </c>
      <c r="F711" s="7" t="s">
        <v>71</v>
      </c>
      <c r="G711" s="11" t="s">
        <v>55</v>
      </c>
      <c r="H711" s="11" t="s">
        <v>55</v>
      </c>
      <c r="I711" s="11" t="s">
        <v>55</v>
      </c>
      <c r="J711" s="7" t="s">
        <v>55</v>
      </c>
      <c r="K711" s="7"/>
      <c r="L711" s="14" t="str">
        <f t="shared" si="1"/>
        <v>Sim</v>
      </c>
      <c r="M711" s="11" t="s">
        <v>87</v>
      </c>
      <c r="N711" s="7"/>
      <c r="O711" s="7" t="s">
        <v>55</v>
      </c>
      <c r="P711" s="7"/>
      <c r="Q711" s="16" t="s">
        <v>55</v>
      </c>
      <c r="R711" s="16" t="s">
        <v>55</v>
      </c>
      <c r="S711" s="16" t="s">
        <v>55</v>
      </c>
      <c r="T711" s="16" t="s">
        <v>55</v>
      </c>
      <c r="U711" s="16" t="s">
        <v>55</v>
      </c>
      <c r="V711" s="16" t="s">
        <v>127</v>
      </c>
      <c r="W711" s="16"/>
      <c r="X711" s="49"/>
      <c r="Y711" s="49"/>
      <c r="Z711" s="49"/>
    </row>
    <row r="712" ht="15.0" customHeight="1">
      <c r="A712" s="7" t="s">
        <v>3197</v>
      </c>
      <c r="B712" s="7" t="s">
        <v>3198</v>
      </c>
      <c r="C712" s="7" t="s">
        <v>3199</v>
      </c>
      <c r="D712" s="7" t="s">
        <v>178</v>
      </c>
      <c r="E712" s="7" t="s">
        <v>202</v>
      </c>
      <c r="F712" s="7" t="s">
        <v>71</v>
      </c>
      <c r="G712" s="11" t="s">
        <v>57</v>
      </c>
      <c r="H712" s="11" t="s">
        <v>55</v>
      </c>
      <c r="I712" s="11" t="s">
        <v>55</v>
      </c>
      <c r="J712" s="7" t="s">
        <v>55</v>
      </c>
      <c r="K712" s="7"/>
      <c r="L712" s="14" t="str">
        <f t="shared" si="1"/>
        <v>Não</v>
      </c>
      <c r="M712" s="11"/>
      <c r="N712" s="7"/>
      <c r="O712" s="7" t="s">
        <v>55</v>
      </c>
      <c r="P712" s="7"/>
      <c r="Q712" s="16" t="s">
        <v>57</v>
      </c>
      <c r="R712" s="16" t="s">
        <v>55</v>
      </c>
      <c r="S712" s="16" t="s">
        <v>55</v>
      </c>
      <c r="T712" s="16" t="s">
        <v>55</v>
      </c>
      <c r="U712" s="16" t="s">
        <v>57</v>
      </c>
      <c r="V712" s="16" t="s">
        <v>225</v>
      </c>
      <c r="W712" s="16"/>
      <c r="X712" s="49"/>
      <c r="Y712" s="49"/>
      <c r="Z712" s="49"/>
    </row>
    <row r="713" ht="15.0" customHeight="1">
      <c r="A713" s="7" t="s">
        <v>3200</v>
      </c>
      <c r="B713" s="7" t="s">
        <v>3201</v>
      </c>
      <c r="C713" s="7" t="s">
        <v>3202</v>
      </c>
      <c r="D713" s="7" t="s">
        <v>178</v>
      </c>
      <c r="E713" s="7" t="s">
        <v>243</v>
      </c>
      <c r="F713" s="7" t="s">
        <v>71</v>
      </c>
      <c r="G713" s="11" t="s">
        <v>57</v>
      </c>
      <c r="H713" s="11" t="s">
        <v>55</v>
      </c>
      <c r="I713" s="11" t="s">
        <v>55</v>
      </c>
      <c r="J713" s="7" t="s">
        <v>55</v>
      </c>
      <c r="K713" s="7"/>
      <c r="L713" s="14" t="str">
        <f t="shared" si="1"/>
        <v>Não</v>
      </c>
      <c r="M713" s="11"/>
      <c r="N713" s="7"/>
      <c r="O713" s="7" t="s">
        <v>55</v>
      </c>
      <c r="P713" s="7"/>
      <c r="Q713" s="16" t="s">
        <v>57</v>
      </c>
      <c r="R713" s="16" t="s">
        <v>55</v>
      </c>
      <c r="S713" s="16" t="s">
        <v>55</v>
      </c>
      <c r="T713" s="16" t="s">
        <v>55</v>
      </c>
      <c r="U713" s="16" t="s">
        <v>57</v>
      </c>
      <c r="V713" s="16" t="s">
        <v>225</v>
      </c>
      <c r="W713" s="16"/>
      <c r="X713" s="49"/>
      <c r="Y713" s="49"/>
      <c r="Z713" s="49"/>
    </row>
    <row r="714" ht="15.0" customHeight="1">
      <c r="A714" s="7" t="s">
        <v>3203</v>
      </c>
      <c r="B714" s="7" t="s">
        <v>3204</v>
      </c>
      <c r="C714" s="7" t="s">
        <v>3205</v>
      </c>
      <c r="D714" s="7" t="s">
        <v>178</v>
      </c>
      <c r="E714" s="7" t="s">
        <v>148</v>
      </c>
      <c r="F714" s="7" t="s">
        <v>71</v>
      </c>
      <c r="G714" s="11" t="s">
        <v>57</v>
      </c>
      <c r="H714" s="11" t="s">
        <v>55</v>
      </c>
      <c r="I714" s="11" t="s">
        <v>55</v>
      </c>
      <c r="J714" s="7" t="s">
        <v>55</v>
      </c>
      <c r="K714" s="7"/>
      <c r="L714" s="14" t="str">
        <f t="shared" si="1"/>
        <v>Não</v>
      </c>
      <c r="M714" s="11"/>
      <c r="N714" s="7"/>
      <c r="O714" s="7" t="s">
        <v>55</v>
      </c>
      <c r="P714" s="7"/>
      <c r="Q714" s="16" t="s">
        <v>57</v>
      </c>
      <c r="R714" s="16" t="s">
        <v>55</v>
      </c>
      <c r="S714" s="16" t="s">
        <v>55</v>
      </c>
      <c r="T714" s="16" t="s">
        <v>55</v>
      </c>
      <c r="U714" s="16" t="s">
        <v>57</v>
      </c>
      <c r="V714" s="16" t="s">
        <v>225</v>
      </c>
      <c r="W714" s="16"/>
      <c r="X714" s="49"/>
      <c r="Y714" s="49"/>
      <c r="Z714" s="49"/>
    </row>
    <row r="715" ht="15.0" customHeight="1">
      <c r="A715" s="7" t="s">
        <v>3206</v>
      </c>
      <c r="B715" s="7" t="s">
        <v>3207</v>
      </c>
      <c r="C715" s="7" t="s">
        <v>3208</v>
      </c>
      <c r="D715" s="7" t="s">
        <v>178</v>
      </c>
      <c r="E715" s="7" t="s">
        <v>328</v>
      </c>
      <c r="F715" s="7" t="s">
        <v>71</v>
      </c>
      <c r="G715" s="11" t="s">
        <v>55</v>
      </c>
      <c r="H715" s="11" t="s">
        <v>55</v>
      </c>
      <c r="I715" s="11" t="s">
        <v>55</v>
      </c>
      <c r="J715" s="7" t="s">
        <v>57</v>
      </c>
      <c r="K715" s="7"/>
      <c r="L715" s="14" t="str">
        <f t="shared" si="1"/>
        <v>Não</v>
      </c>
      <c r="M715" s="7"/>
      <c r="N715" s="7"/>
      <c r="O715" s="7" t="s">
        <v>55</v>
      </c>
      <c r="P715" s="7"/>
      <c r="Q715" s="16" t="s">
        <v>55</v>
      </c>
      <c r="R715" s="16" t="s">
        <v>55</v>
      </c>
      <c r="S715" s="16" t="s">
        <v>55</v>
      </c>
      <c r="T715" s="16" t="s">
        <v>57</v>
      </c>
      <c r="U715" s="16" t="s">
        <v>57</v>
      </c>
      <c r="V715" s="16" t="s">
        <v>1747</v>
      </c>
      <c r="W715" s="16"/>
      <c r="X715" s="49"/>
      <c r="Y715" s="49"/>
      <c r="Z715" s="49"/>
    </row>
    <row r="716" ht="15.0" customHeight="1">
      <c r="A716" s="7" t="s">
        <v>3209</v>
      </c>
      <c r="B716" s="7" t="s">
        <v>3210</v>
      </c>
      <c r="C716" s="7" t="s">
        <v>3211</v>
      </c>
      <c r="D716" s="7" t="s">
        <v>178</v>
      </c>
      <c r="E716" s="7" t="s">
        <v>114</v>
      </c>
      <c r="F716" s="7" t="s">
        <v>71</v>
      </c>
      <c r="G716" s="11" t="s">
        <v>55</v>
      </c>
      <c r="H716" s="11" t="s">
        <v>55</v>
      </c>
      <c r="I716" s="11" t="s">
        <v>55</v>
      </c>
      <c r="J716" s="7" t="s">
        <v>55</v>
      </c>
      <c r="K716" s="11" t="s">
        <v>3212</v>
      </c>
      <c r="L716" s="14" t="str">
        <f t="shared" si="1"/>
        <v>Não</v>
      </c>
      <c r="M716" s="7"/>
      <c r="N716" s="7"/>
      <c r="O716" s="7" t="s">
        <v>55</v>
      </c>
      <c r="P716" s="7"/>
      <c r="Q716" s="16" t="s">
        <v>55</v>
      </c>
      <c r="R716" s="16" t="s">
        <v>55</v>
      </c>
      <c r="S716" s="16" t="s">
        <v>55</v>
      </c>
      <c r="T716" s="16" t="s">
        <v>55</v>
      </c>
      <c r="U716" s="16" t="s">
        <v>55</v>
      </c>
      <c r="V716" s="16" t="s">
        <v>1577</v>
      </c>
      <c r="W716" s="16" t="s">
        <v>3213</v>
      </c>
      <c r="X716" s="49"/>
      <c r="Y716" s="49"/>
      <c r="Z716" s="49"/>
    </row>
    <row r="717" ht="15.0" customHeight="1">
      <c r="A717" s="7" t="s">
        <v>3214</v>
      </c>
      <c r="B717" s="7" t="s">
        <v>3215</v>
      </c>
      <c r="C717" s="7" t="s">
        <v>3216</v>
      </c>
      <c r="D717" s="7" t="s">
        <v>178</v>
      </c>
      <c r="E717" s="7" t="s">
        <v>80</v>
      </c>
      <c r="F717" s="7" t="s">
        <v>71</v>
      </c>
      <c r="G717" s="11" t="s">
        <v>55</v>
      </c>
      <c r="H717" s="11" t="s">
        <v>55</v>
      </c>
      <c r="I717" s="11" t="s">
        <v>55</v>
      </c>
      <c r="J717" s="7" t="s">
        <v>55</v>
      </c>
      <c r="K717" s="11" t="s">
        <v>3217</v>
      </c>
      <c r="L717" s="14" t="str">
        <f t="shared" si="1"/>
        <v>Não</v>
      </c>
      <c r="M717" s="7"/>
      <c r="N717" s="7"/>
      <c r="O717" s="7" t="s">
        <v>55</v>
      </c>
      <c r="P717" s="7"/>
      <c r="Q717" s="16" t="s">
        <v>55</v>
      </c>
      <c r="R717" s="16" t="s">
        <v>55</v>
      </c>
      <c r="S717" s="16" t="s">
        <v>55</v>
      </c>
      <c r="T717" s="16" t="s">
        <v>55</v>
      </c>
      <c r="U717" s="16" t="s">
        <v>55</v>
      </c>
      <c r="V717" s="16" t="s">
        <v>184</v>
      </c>
      <c r="W717" s="16" t="s">
        <v>3218</v>
      </c>
      <c r="X717" s="49"/>
      <c r="Y717" s="49"/>
      <c r="Z717" s="49"/>
    </row>
    <row r="718" ht="15.0" customHeight="1">
      <c r="A718" s="7" t="s">
        <v>3219</v>
      </c>
      <c r="B718" s="7" t="s">
        <v>3220</v>
      </c>
      <c r="C718" s="7" t="s">
        <v>3221</v>
      </c>
      <c r="D718" s="7" t="s">
        <v>178</v>
      </c>
      <c r="E718" s="7" t="s">
        <v>138</v>
      </c>
      <c r="F718" s="7" t="s">
        <v>71</v>
      </c>
      <c r="G718" s="11" t="s">
        <v>55</v>
      </c>
      <c r="H718" s="11" t="s">
        <v>55</v>
      </c>
      <c r="I718" s="11" t="s">
        <v>55</v>
      </c>
      <c r="J718" s="7" t="s">
        <v>55</v>
      </c>
      <c r="K718" s="11" t="s">
        <v>3222</v>
      </c>
      <c r="L718" s="14" t="str">
        <f t="shared" si="1"/>
        <v>Não</v>
      </c>
      <c r="M718" s="7"/>
      <c r="N718" s="7"/>
      <c r="O718" s="7" t="s">
        <v>55</v>
      </c>
      <c r="P718" s="7"/>
      <c r="Q718" s="16" t="s">
        <v>55</v>
      </c>
      <c r="R718" s="16" t="s">
        <v>55</v>
      </c>
      <c r="S718" s="16" t="s">
        <v>55</v>
      </c>
      <c r="T718" s="16" t="s">
        <v>55</v>
      </c>
      <c r="U718" s="16" t="s">
        <v>55</v>
      </c>
      <c r="V718" s="16" t="s">
        <v>184</v>
      </c>
      <c r="W718" s="16" t="s">
        <v>3223</v>
      </c>
      <c r="X718" s="49"/>
      <c r="Y718" s="49"/>
      <c r="Z718" s="49"/>
    </row>
    <row r="719" ht="15.0" customHeight="1">
      <c r="A719" s="7" t="s">
        <v>3224</v>
      </c>
      <c r="B719" s="7" t="s">
        <v>2469</v>
      </c>
      <c r="C719" s="7" t="s">
        <v>3225</v>
      </c>
      <c r="D719" s="7" t="s">
        <v>178</v>
      </c>
      <c r="E719" s="7" t="s">
        <v>138</v>
      </c>
      <c r="F719" s="7" t="s">
        <v>71</v>
      </c>
      <c r="G719" s="11" t="s">
        <v>57</v>
      </c>
      <c r="H719" s="11" t="s">
        <v>55</v>
      </c>
      <c r="I719" s="11" t="s">
        <v>55</v>
      </c>
      <c r="J719" s="7" t="s">
        <v>55</v>
      </c>
      <c r="K719" s="7"/>
      <c r="L719" s="14" t="str">
        <f t="shared" si="1"/>
        <v>Não</v>
      </c>
      <c r="M719" s="11"/>
      <c r="N719" s="7"/>
      <c r="O719" s="7" t="s">
        <v>55</v>
      </c>
      <c r="P719" s="7"/>
      <c r="Q719" s="16" t="s">
        <v>57</v>
      </c>
      <c r="R719" s="16" t="s">
        <v>55</v>
      </c>
      <c r="S719" s="16" t="s">
        <v>55</v>
      </c>
      <c r="T719" s="16" t="s">
        <v>55</v>
      </c>
      <c r="U719" s="16" t="s">
        <v>57</v>
      </c>
      <c r="V719" s="16" t="s">
        <v>225</v>
      </c>
      <c r="W719" s="16"/>
      <c r="X719" s="49"/>
      <c r="Y719" s="49"/>
      <c r="Z719" s="49"/>
    </row>
    <row r="720" ht="15.0" customHeight="1">
      <c r="A720" s="7" t="s">
        <v>3226</v>
      </c>
      <c r="B720" s="7" t="s">
        <v>3227</v>
      </c>
      <c r="C720" s="7" t="s">
        <v>3228</v>
      </c>
      <c r="D720" s="7" t="s">
        <v>178</v>
      </c>
      <c r="E720" s="7" t="s">
        <v>80</v>
      </c>
      <c r="F720" s="7" t="s">
        <v>71</v>
      </c>
      <c r="G720" s="11" t="s">
        <v>55</v>
      </c>
      <c r="H720" s="11" t="s">
        <v>55</v>
      </c>
      <c r="I720" s="11" t="s">
        <v>55</v>
      </c>
      <c r="J720" s="7" t="s">
        <v>55</v>
      </c>
      <c r="K720" s="7"/>
      <c r="L720" s="14" t="str">
        <f t="shared" si="1"/>
        <v>Sim</v>
      </c>
      <c r="M720" s="11"/>
      <c r="N720" s="7"/>
      <c r="O720" s="7" t="s">
        <v>55</v>
      </c>
      <c r="P720" s="7"/>
      <c r="Q720" s="16" t="s">
        <v>55</v>
      </c>
      <c r="R720" s="16" t="s">
        <v>55</v>
      </c>
      <c r="S720" s="16" t="s">
        <v>55</v>
      </c>
      <c r="T720" s="16" t="s">
        <v>55</v>
      </c>
      <c r="U720" s="16" t="s">
        <v>55</v>
      </c>
      <c r="V720" s="16" t="s">
        <v>184</v>
      </c>
      <c r="W720" s="16"/>
      <c r="X720" s="49"/>
      <c r="Y720" s="49"/>
      <c r="Z720" s="49"/>
    </row>
    <row r="721" ht="29.25" customHeight="1">
      <c r="A721" s="7" t="s">
        <v>3229</v>
      </c>
      <c r="B721" s="7" t="s">
        <v>3230</v>
      </c>
      <c r="C721" s="7" t="s">
        <v>3231</v>
      </c>
      <c r="D721" s="7" t="s">
        <v>178</v>
      </c>
      <c r="E721" s="7" t="s">
        <v>267</v>
      </c>
      <c r="F721" s="7" t="s">
        <v>71</v>
      </c>
      <c r="G721" s="11" t="s">
        <v>55</v>
      </c>
      <c r="H721" s="11" t="s">
        <v>55</v>
      </c>
      <c r="I721" s="11" t="s">
        <v>55</v>
      </c>
      <c r="J721" s="7" t="s">
        <v>55</v>
      </c>
      <c r="K721" s="11" t="s">
        <v>3232</v>
      </c>
      <c r="L721" s="14" t="str">
        <f t="shared" si="1"/>
        <v>Não</v>
      </c>
      <c r="M721" s="7"/>
      <c r="N721" s="7"/>
      <c r="O721" s="7" t="s">
        <v>55</v>
      </c>
      <c r="P721" s="7"/>
      <c r="Q721" s="16" t="s">
        <v>55</v>
      </c>
      <c r="R721" s="16" t="s">
        <v>55</v>
      </c>
      <c r="S721" s="16" t="s">
        <v>55</v>
      </c>
      <c r="T721" s="16" t="s">
        <v>55</v>
      </c>
      <c r="U721" s="16" t="s">
        <v>55</v>
      </c>
      <c r="V721" s="16" t="s">
        <v>184</v>
      </c>
      <c r="W721" s="16" t="s">
        <v>3233</v>
      </c>
      <c r="X721" s="49"/>
      <c r="Y721" s="49"/>
      <c r="Z721" s="49"/>
    </row>
    <row r="722" ht="29.25" customHeight="1">
      <c r="A722" s="7" t="s">
        <v>3234</v>
      </c>
      <c r="B722" s="7" t="s">
        <v>3235</v>
      </c>
      <c r="C722" s="7" t="s">
        <v>3236</v>
      </c>
      <c r="D722" s="7" t="s">
        <v>178</v>
      </c>
      <c r="E722" s="7" t="s">
        <v>85</v>
      </c>
      <c r="F722" s="7" t="s">
        <v>71</v>
      </c>
      <c r="G722" s="11" t="s">
        <v>55</v>
      </c>
      <c r="H722" s="11" t="s">
        <v>55</v>
      </c>
      <c r="I722" s="11" t="s">
        <v>55</v>
      </c>
      <c r="J722" s="7" t="s">
        <v>55</v>
      </c>
      <c r="K722" s="11" t="s">
        <v>3237</v>
      </c>
      <c r="L722" s="14" t="str">
        <f t="shared" si="1"/>
        <v>Não</v>
      </c>
      <c r="M722" s="7"/>
      <c r="N722" s="7"/>
      <c r="O722" s="7" t="s">
        <v>55</v>
      </c>
      <c r="P722" s="7"/>
      <c r="Q722" s="16" t="s">
        <v>55</v>
      </c>
      <c r="R722" s="16" t="s">
        <v>55</v>
      </c>
      <c r="S722" s="16" t="s">
        <v>55</v>
      </c>
      <c r="T722" s="16" t="s">
        <v>55</v>
      </c>
      <c r="U722" s="16" t="s">
        <v>55</v>
      </c>
      <c r="V722" s="16" t="s">
        <v>184</v>
      </c>
      <c r="W722" s="16" t="s">
        <v>3238</v>
      </c>
      <c r="X722" s="49"/>
      <c r="Y722" s="49"/>
      <c r="Z722" s="49"/>
    </row>
    <row r="723" ht="15.0" customHeight="1">
      <c r="A723" s="7" t="s">
        <v>3239</v>
      </c>
      <c r="B723" s="7" t="s">
        <v>3240</v>
      </c>
      <c r="C723" s="7" t="s">
        <v>3241</v>
      </c>
      <c r="D723" s="7" t="s">
        <v>178</v>
      </c>
      <c r="E723" s="7" t="s">
        <v>148</v>
      </c>
      <c r="F723" s="7" t="s">
        <v>71</v>
      </c>
      <c r="G723" s="11" t="s">
        <v>57</v>
      </c>
      <c r="H723" s="11" t="s">
        <v>55</v>
      </c>
      <c r="I723" s="11" t="s">
        <v>55</v>
      </c>
      <c r="J723" s="7" t="s">
        <v>55</v>
      </c>
      <c r="K723" s="7"/>
      <c r="L723" s="14" t="str">
        <f t="shared" si="1"/>
        <v>Não</v>
      </c>
      <c r="M723" s="11"/>
      <c r="N723" s="7"/>
      <c r="O723" s="7" t="s">
        <v>55</v>
      </c>
      <c r="P723" s="7"/>
      <c r="Q723" s="16" t="s">
        <v>57</v>
      </c>
      <c r="R723" s="16" t="s">
        <v>55</v>
      </c>
      <c r="S723" s="16" t="s">
        <v>55</v>
      </c>
      <c r="T723" s="16" t="s">
        <v>55</v>
      </c>
      <c r="U723" s="16" t="s">
        <v>57</v>
      </c>
      <c r="V723" s="16" t="s">
        <v>225</v>
      </c>
      <c r="W723" s="16"/>
      <c r="X723" s="49"/>
      <c r="Y723" s="49"/>
      <c r="Z723" s="49"/>
    </row>
    <row r="724" ht="15.0" customHeight="1">
      <c r="A724" s="7" t="s">
        <v>3242</v>
      </c>
      <c r="B724" s="7" t="s">
        <v>3243</v>
      </c>
      <c r="C724" s="7" t="s">
        <v>3244</v>
      </c>
      <c r="D724" s="7" t="s">
        <v>178</v>
      </c>
      <c r="E724" s="7" t="s">
        <v>300</v>
      </c>
      <c r="F724" s="7" t="s">
        <v>71</v>
      </c>
      <c r="G724" s="11" t="s">
        <v>57</v>
      </c>
      <c r="H724" s="11" t="s">
        <v>55</v>
      </c>
      <c r="I724" s="11" t="s">
        <v>55</v>
      </c>
      <c r="J724" s="7" t="s">
        <v>55</v>
      </c>
      <c r="K724" s="7"/>
      <c r="L724" s="14" t="str">
        <f t="shared" si="1"/>
        <v>Não</v>
      </c>
      <c r="M724" s="11"/>
      <c r="N724" s="7"/>
      <c r="O724" s="7" t="s">
        <v>55</v>
      </c>
      <c r="P724" s="7"/>
      <c r="Q724" s="16" t="s">
        <v>57</v>
      </c>
      <c r="R724" s="16" t="s">
        <v>55</v>
      </c>
      <c r="S724" s="16" t="s">
        <v>55</v>
      </c>
      <c r="T724" s="16" t="s">
        <v>55</v>
      </c>
      <c r="U724" s="16" t="s">
        <v>57</v>
      </c>
      <c r="V724" s="16" t="s">
        <v>225</v>
      </c>
      <c r="W724" s="16"/>
      <c r="X724" s="49"/>
      <c r="Y724" s="49"/>
      <c r="Z724" s="49"/>
    </row>
    <row r="725" ht="15.0" customHeight="1">
      <c r="A725" s="7" t="s">
        <v>3245</v>
      </c>
      <c r="B725" s="7" t="s">
        <v>3246</v>
      </c>
      <c r="C725" s="7" t="s">
        <v>3247</v>
      </c>
      <c r="D725" s="7" t="s">
        <v>178</v>
      </c>
      <c r="E725" s="7" t="s">
        <v>291</v>
      </c>
      <c r="F725" s="7" t="s">
        <v>71</v>
      </c>
      <c r="G725" s="11" t="s">
        <v>57</v>
      </c>
      <c r="H725" s="11" t="s">
        <v>55</v>
      </c>
      <c r="I725" s="11" t="s">
        <v>55</v>
      </c>
      <c r="J725" s="7" t="s">
        <v>55</v>
      </c>
      <c r="K725" s="7"/>
      <c r="L725" s="14" t="str">
        <f t="shared" si="1"/>
        <v>Não</v>
      </c>
      <c r="M725" s="11"/>
      <c r="N725" s="7"/>
      <c r="O725" s="7" t="s">
        <v>55</v>
      </c>
      <c r="P725" s="7"/>
      <c r="Q725" s="16" t="s">
        <v>57</v>
      </c>
      <c r="R725" s="16" t="s">
        <v>55</v>
      </c>
      <c r="S725" s="16" t="s">
        <v>55</v>
      </c>
      <c r="T725" s="16" t="s">
        <v>55</v>
      </c>
      <c r="U725" s="16" t="s">
        <v>57</v>
      </c>
      <c r="V725" s="16" t="s">
        <v>1440</v>
      </c>
      <c r="W725" s="16"/>
      <c r="X725" s="49"/>
      <c r="Y725" s="49"/>
      <c r="Z725" s="49"/>
    </row>
    <row r="726" ht="28.5" customHeight="1">
      <c r="A726" s="7" t="s">
        <v>3248</v>
      </c>
      <c r="B726" s="7" t="s">
        <v>3249</v>
      </c>
      <c r="C726" s="7" t="s">
        <v>3250</v>
      </c>
      <c r="D726" s="7" t="s">
        <v>178</v>
      </c>
      <c r="E726" s="7" t="s">
        <v>138</v>
      </c>
      <c r="F726" s="7" t="s">
        <v>71</v>
      </c>
      <c r="G726" s="11" t="s">
        <v>55</v>
      </c>
      <c r="H726" s="11" t="s">
        <v>55</v>
      </c>
      <c r="I726" s="11" t="s">
        <v>55</v>
      </c>
      <c r="J726" s="7" t="s">
        <v>55</v>
      </c>
      <c r="K726" s="11" t="s">
        <v>3251</v>
      </c>
      <c r="L726" s="14" t="str">
        <f t="shared" si="1"/>
        <v>Não</v>
      </c>
      <c r="M726" s="7"/>
      <c r="N726" s="7"/>
      <c r="O726" s="7" t="s">
        <v>55</v>
      </c>
      <c r="P726" s="7"/>
      <c r="Q726" s="16" t="s">
        <v>55</v>
      </c>
      <c r="R726" s="16" t="s">
        <v>55</v>
      </c>
      <c r="S726" s="16" t="s">
        <v>55</v>
      </c>
      <c r="T726" s="16" t="s">
        <v>55</v>
      </c>
      <c r="U726" s="16" t="s">
        <v>55</v>
      </c>
      <c r="V726" s="16" t="s">
        <v>184</v>
      </c>
      <c r="W726" s="16" t="s">
        <v>3252</v>
      </c>
      <c r="X726" s="49"/>
      <c r="Y726" s="49"/>
      <c r="Z726" s="49"/>
    </row>
    <row r="727" ht="15.0" customHeight="1">
      <c r="A727" s="7" t="s">
        <v>3253</v>
      </c>
      <c r="B727" s="7" t="s">
        <v>3254</v>
      </c>
      <c r="C727" s="7" t="s">
        <v>3255</v>
      </c>
      <c r="D727" s="7" t="s">
        <v>178</v>
      </c>
      <c r="E727" s="7" t="s">
        <v>85</v>
      </c>
      <c r="F727" s="7" t="s">
        <v>71</v>
      </c>
      <c r="G727" s="11" t="s">
        <v>57</v>
      </c>
      <c r="H727" s="11" t="s">
        <v>55</v>
      </c>
      <c r="I727" s="11" t="s">
        <v>55</v>
      </c>
      <c r="J727" s="7" t="s">
        <v>55</v>
      </c>
      <c r="K727" s="7"/>
      <c r="L727" s="14" t="str">
        <f t="shared" si="1"/>
        <v>Não</v>
      </c>
      <c r="M727" s="11"/>
      <c r="N727" s="7"/>
      <c r="O727" s="7" t="s">
        <v>55</v>
      </c>
      <c r="P727" s="7"/>
      <c r="Q727" s="16" t="s">
        <v>57</v>
      </c>
      <c r="R727" s="16" t="s">
        <v>55</v>
      </c>
      <c r="S727" s="16" t="s">
        <v>55</v>
      </c>
      <c r="T727" s="16" t="s">
        <v>55</v>
      </c>
      <c r="U727" s="16" t="s">
        <v>57</v>
      </c>
      <c r="V727" s="16" t="s">
        <v>225</v>
      </c>
      <c r="W727" s="16"/>
      <c r="X727" s="49"/>
      <c r="Y727" s="49"/>
      <c r="Z727" s="49"/>
    </row>
    <row r="728" ht="15.0" customHeight="1">
      <c r="A728" s="7" t="s">
        <v>3256</v>
      </c>
      <c r="B728" s="7" t="s">
        <v>3257</v>
      </c>
      <c r="C728" s="7" t="s">
        <v>3258</v>
      </c>
      <c r="D728" s="7" t="s">
        <v>178</v>
      </c>
      <c r="E728" s="7" t="s">
        <v>243</v>
      </c>
      <c r="F728" s="7" t="s">
        <v>71</v>
      </c>
      <c r="G728" s="11" t="s">
        <v>57</v>
      </c>
      <c r="H728" s="11" t="s">
        <v>55</v>
      </c>
      <c r="I728" s="11" t="s">
        <v>55</v>
      </c>
      <c r="J728" s="7" t="s">
        <v>55</v>
      </c>
      <c r="K728" s="7"/>
      <c r="L728" s="14" t="str">
        <f t="shared" si="1"/>
        <v>Não</v>
      </c>
      <c r="M728" s="11"/>
      <c r="N728" s="7"/>
      <c r="O728" s="7" t="s">
        <v>55</v>
      </c>
      <c r="P728" s="7"/>
      <c r="Q728" s="16" t="s">
        <v>57</v>
      </c>
      <c r="R728" s="16" t="s">
        <v>55</v>
      </c>
      <c r="S728" s="16" t="s">
        <v>55</v>
      </c>
      <c r="T728" s="16" t="s">
        <v>55</v>
      </c>
      <c r="U728" s="16" t="s">
        <v>57</v>
      </c>
      <c r="V728" s="16" t="s">
        <v>225</v>
      </c>
      <c r="W728" s="16"/>
      <c r="X728" s="49"/>
      <c r="Y728" s="49"/>
      <c r="Z728" s="49"/>
    </row>
    <row r="729" ht="15.0" customHeight="1">
      <c r="A729" s="7" t="s">
        <v>3259</v>
      </c>
      <c r="B729" s="7" t="s">
        <v>3260</v>
      </c>
      <c r="C729" s="7" t="s">
        <v>3261</v>
      </c>
      <c r="D729" s="7" t="s">
        <v>178</v>
      </c>
      <c r="E729" s="7" t="s">
        <v>194</v>
      </c>
      <c r="F729" s="7" t="s">
        <v>71</v>
      </c>
      <c r="G729" s="11" t="s">
        <v>57</v>
      </c>
      <c r="H729" s="11" t="s">
        <v>55</v>
      </c>
      <c r="I729" s="11" t="s">
        <v>55</v>
      </c>
      <c r="J729" s="7" t="s">
        <v>55</v>
      </c>
      <c r="K729" s="7"/>
      <c r="L729" s="14" t="str">
        <f t="shared" si="1"/>
        <v>Não</v>
      </c>
      <c r="M729" s="11"/>
      <c r="N729" s="7"/>
      <c r="O729" s="7" t="s">
        <v>55</v>
      </c>
      <c r="P729" s="7"/>
      <c r="Q729" s="16" t="s">
        <v>57</v>
      </c>
      <c r="R729" s="16" t="s">
        <v>55</v>
      </c>
      <c r="S729" s="16" t="s">
        <v>55</v>
      </c>
      <c r="T729" s="16" t="s">
        <v>55</v>
      </c>
      <c r="U729" s="16" t="s">
        <v>57</v>
      </c>
      <c r="V729" s="16" t="s">
        <v>225</v>
      </c>
      <c r="W729" s="16"/>
      <c r="X729" s="49"/>
      <c r="Y729" s="49"/>
      <c r="Z729" s="49"/>
    </row>
    <row r="730" ht="15.0" customHeight="1">
      <c r="A730" s="7" t="s">
        <v>3262</v>
      </c>
      <c r="B730" s="7" t="s">
        <v>3263</v>
      </c>
      <c r="C730" s="7" t="s">
        <v>3264</v>
      </c>
      <c r="D730" s="7" t="s">
        <v>178</v>
      </c>
      <c r="E730" s="7" t="s">
        <v>267</v>
      </c>
      <c r="F730" s="7" t="s">
        <v>71</v>
      </c>
      <c r="G730" s="11" t="s">
        <v>57</v>
      </c>
      <c r="H730" s="11" t="s">
        <v>55</v>
      </c>
      <c r="I730" s="11" t="s">
        <v>55</v>
      </c>
      <c r="J730" s="7" t="s">
        <v>55</v>
      </c>
      <c r="K730" s="7"/>
      <c r="L730" s="14" t="str">
        <f t="shared" si="1"/>
        <v>Não</v>
      </c>
      <c r="M730" s="11"/>
      <c r="N730" s="7"/>
      <c r="O730" s="7" t="s">
        <v>55</v>
      </c>
      <c r="P730" s="7"/>
      <c r="Q730" s="16" t="s">
        <v>57</v>
      </c>
      <c r="R730" s="16" t="s">
        <v>55</v>
      </c>
      <c r="S730" s="16" t="s">
        <v>55</v>
      </c>
      <c r="T730" s="16" t="s">
        <v>55</v>
      </c>
      <c r="U730" s="16" t="s">
        <v>57</v>
      </c>
      <c r="V730" s="16" t="s">
        <v>225</v>
      </c>
      <c r="W730" s="16"/>
      <c r="X730" s="49"/>
      <c r="Y730" s="49"/>
      <c r="Z730" s="49"/>
    </row>
    <row r="731" ht="15.0" customHeight="1">
      <c r="A731" s="7" t="s">
        <v>3265</v>
      </c>
      <c r="B731" s="7" t="s">
        <v>3266</v>
      </c>
      <c r="C731" s="7" t="s">
        <v>3267</v>
      </c>
      <c r="D731" s="7" t="s">
        <v>178</v>
      </c>
      <c r="E731" s="7" t="s">
        <v>259</v>
      </c>
      <c r="F731" s="7" t="s">
        <v>71</v>
      </c>
      <c r="G731" s="11" t="s">
        <v>55</v>
      </c>
      <c r="H731" s="11" t="s">
        <v>55</v>
      </c>
      <c r="I731" s="11" t="s">
        <v>55</v>
      </c>
      <c r="J731" s="7" t="s">
        <v>55</v>
      </c>
      <c r="K731" s="11" t="s">
        <v>3268</v>
      </c>
      <c r="L731" s="14" t="str">
        <f t="shared" si="1"/>
        <v>Não</v>
      </c>
      <c r="M731" s="7"/>
      <c r="N731" s="7"/>
      <c r="O731" s="7" t="s">
        <v>55</v>
      </c>
      <c r="P731" s="7"/>
      <c r="Q731" s="16" t="s">
        <v>55</v>
      </c>
      <c r="R731" s="16" t="s">
        <v>55</v>
      </c>
      <c r="S731" s="16" t="s">
        <v>55</v>
      </c>
      <c r="T731" s="16" t="s">
        <v>55</v>
      </c>
      <c r="U731" s="16" t="s">
        <v>55</v>
      </c>
      <c r="V731" s="16" t="s">
        <v>184</v>
      </c>
      <c r="W731" s="16" t="s">
        <v>3269</v>
      </c>
      <c r="X731" s="49"/>
      <c r="Y731" s="49"/>
      <c r="Z731" s="49"/>
    </row>
    <row r="732" ht="15.0" customHeight="1">
      <c r="A732" s="7" t="s">
        <v>3270</v>
      </c>
      <c r="B732" s="7" t="s">
        <v>3266</v>
      </c>
      <c r="C732" s="7" t="s">
        <v>3267</v>
      </c>
      <c r="D732" s="7" t="s">
        <v>178</v>
      </c>
      <c r="E732" s="7" t="s">
        <v>259</v>
      </c>
      <c r="F732" s="7" t="s">
        <v>71</v>
      </c>
      <c r="G732" s="11" t="s">
        <v>55</v>
      </c>
      <c r="H732" s="11" t="s">
        <v>55</v>
      </c>
      <c r="I732" s="11" t="s">
        <v>55</v>
      </c>
      <c r="J732" s="7" t="s">
        <v>55</v>
      </c>
      <c r="K732" s="11" t="s">
        <v>3271</v>
      </c>
      <c r="L732" s="14" t="str">
        <f t="shared" si="1"/>
        <v>Não</v>
      </c>
      <c r="M732" s="7"/>
      <c r="N732" s="7"/>
      <c r="O732" s="7" t="s">
        <v>55</v>
      </c>
      <c r="P732" s="7"/>
      <c r="Q732" s="16" t="s">
        <v>55</v>
      </c>
      <c r="R732" s="16" t="s">
        <v>55</v>
      </c>
      <c r="S732" s="16" t="s">
        <v>55</v>
      </c>
      <c r="T732" s="16" t="s">
        <v>55</v>
      </c>
      <c r="U732" s="16" t="s">
        <v>55</v>
      </c>
      <c r="V732" s="16" t="s">
        <v>184</v>
      </c>
      <c r="W732" s="16" t="s">
        <v>3272</v>
      </c>
      <c r="X732" s="49"/>
      <c r="Y732" s="49"/>
      <c r="Z732" s="49"/>
    </row>
    <row r="733" ht="15.0" customHeight="1">
      <c r="A733" s="7" t="s">
        <v>3273</v>
      </c>
      <c r="B733" s="7" t="s">
        <v>3274</v>
      </c>
      <c r="C733" s="7" t="s">
        <v>3275</v>
      </c>
      <c r="D733" s="7" t="s">
        <v>178</v>
      </c>
      <c r="E733" s="7" t="s">
        <v>148</v>
      </c>
      <c r="F733" s="7" t="s">
        <v>71</v>
      </c>
      <c r="G733" s="11" t="s">
        <v>57</v>
      </c>
      <c r="H733" s="11" t="s">
        <v>55</v>
      </c>
      <c r="I733" s="11" t="s">
        <v>55</v>
      </c>
      <c r="J733" s="7" t="s">
        <v>55</v>
      </c>
      <c r="K733" s="7"/>
      <c r="L733" s="14" t="str">
        <f t="shared" si="1"/>
        <v>Não</v>
      </c>
      <c r="M733" s="11"/>
      <c r="N733" s="7"/>
      <c r="O733" s="7" t="s">
        <v>55</v>
      </c>
      <c r="P733" s="7"/>
      <c r="Q733" s="16" t="s">
        <v>57</v>
      </c>
      <c r="R733" s="16" t="s">
        <v>55</v>
      </c>
      <c r="S733" s="16" t="s">
        <v>55</v>
      </c>
      <c r="T733" s="16" t="s">
        <v>55</v>
      </c>
      <c r="U733" s="16" t="s">
        <v>57</v>
      </c>
      <c r="V733" s="16" t="s">
        <v>225</v>
      </c>
      <c r="W733" s="16"/>
      <c r="X733" s="49"/>
      <c r="Y733" s="49"/>
      <c r="Z733" s="49"/>
    </row>
    <row r="734" ht="15.0" customHeight="1">
      <c r="A734" s="7" t="s">
        <v>3276</v>
      </c>
      <c r="B734" s="7" t="s">
        <v>3277</v>
      </c>
      <c r="C734" s="7" t="s">
        <v>3278</v>
      </c>
      <c r="D734" s="7" t="s">
        <v>178</v>
      </c>
      <c r="E734" s="7" t="s">
        <v>286</v>
      </c>
      <c r="F734" s="7" t="s">
        <v>71</v>
      </c>
      <c r="G734" s="11" t="s">
        <v>57</v>
      </c>
      <c r="H734" s="11" t="s">
        <v>55</v>
      </c>
      <c r="I734" s="11" t="s">
        <v>55</v>
      </c>
      <c r="J734" s="7" t="s">
        <v>55</v>
      </c>
      <c r="K734" s="7"/>
      <c r="L734" s="14" t="str">
        <f t="shared" si="1"/>
        <v>Não</v>
      </c>
      <c r="M734" s="11"/>
      <c r="N734" s="7"/>
      <c r="O734" s="7" t="s">
        <v>55</v>
      </c>
      <c r="P734" s="7"/>
      <c r="Q734" s="16" t="s">
        <v>57</v>
      </c>
      <c r="R734" s="16" t="s">
        <v>55</v>
      </c>
      <c r="S734" s="16" t="s">
        <v>55</v>
      </c>
      <c r="T734" s="16" t="s">
        <v>55</v>
      </c>
      <c r="U734" s="16" t="s">
        <v>57</v>
      </c>
      <c r="V734" s="16" t="s">
        <v>225</v>
      </c>
      <c r="W734" s="16"/>
      <c r="X734" s="49"/>
      <c r="Y734" s="49"/>
      <c r="Z734" s="49"/>
    </row>
    <row r="735" ht="15.0" customHeight="1">
      <c r="A735" s="7" t="s">
        <v>3279</v>
      </c>
      <c r="B735" s="7" t="s">
        <v>3280</v>
      </c>
      <c r="C735" s="7" t="s">
        <v>3281</v>
      </c>
      <c r="D735" s="7" t="s">
        <v>178</v>
      </c>
      <c r="E735" s="7" t="s">
        <v>286</v>
      </c>
      <c r="F735" s="7" t="s">
        <v>71</v>
      </c>
      <c r="G735" s="11" t="s">
        <v>55</v>
      </c>
      <c r="H735" s="11" t="s">
        <v>55</v>
      </c>
      <c r="I735" s="11" t="s">
        <v>55</v>
      </c>
      <c r="J735" s="7" t="s">
        <v>55</v>
      </c>
      <c r="K735" s="7"/>
      <c r="L735" s="14" t="str">
        <f t="shared" si="1"/>
        <v>Sim</v>
      </c>
      <c r="M735" s="11"/>
      <c r="N735" s="7"/>
      <c r="O735" s="7" t="s">
        <v>55</v>
      </c>
      <c r="P735" s="7"/>
      <c r="Q735" s="16" t="s">
        <v>55</v>
      </c>
      <c r="R735" s="16" t="s">
        <v>55</v>
      </c>
      <c r="S735" s="16" t="s">
        <v>55</v>
      </c>
      <c r="T735" s="16" t="s">
        <v>55</v>
      </c>
      <c r="U735" s="16" t="s">
        <v>55</v>
      </c>
      <c r="V735" s="16" t="s">
        <v>184</v>
      </c>
      <c r="W735" s="16"/>
      <c r="X735" s="49"/>
      <c r="Y735" s="49"/>
      <c r="Z735" s="49"/>
    </row>
    <row r="736" ht="15.0" customHeight="1">
      <c r="A736" s="7" t="s">
        <v>3282</v>
      </c>
      <c r="B736" s="7" t="s">
        <v>3283</v>
      </c>
      <c r="C736" s="7" t="s">
        <v>3284</v>
      </c>
      <c r="D736" s="7" t="s">
        <v>178</v>
      </c>
      <c r="E736" s="7" t="s">
        <v>148</v>
      </c>
      <c r="F736" s="7" t="s">
        <v>71</v>
      </c>
      <c r="G736" s="11" t="s">
        <v>57</v>
      </c>
      <c r="H736" s="11" t="s">
        <v>55</v>
      </c>
      <c r="I736" s="11" t="s">
        <v>55</v>
      </c>
      <c r="J736" s="7" t="s">
        <v>55</v>
      </c>
      <c r="K736" s="7"/>
      <c r="L736" s="14" t="str">
        <f t="shared" si="1"/>
        <v>Não</v>
      </c>
      <c r="M736" s="11"/>
      <c r="N736" s="7"/>
      <c r="O736" s="7" t="s">
        <v>55</v>
      </c>
      <c r="P736" s="7"/>
      <c r="Q736" s="16" t="s">
        <v>57</v>
      </c>
      <c r="R736" s="16" t="s">
        <v>55</v>
      </c>
      <c r="S736" s="16" t="s">
        <v>55</v>
      </c>
      <c r="T736" s="16" t="s">
        <v>55</v>
      </c>
      <c r="U736" s="16" t="s">
        <v>57</v>
      </c>
      <c r="V736" s="16" t="s">
        <v>225</v>
      </c>
      <c r="W736" s="16"/>
      <c r="X736" s="49"/>
      <c r="Y736" s="49"/>
      <c r="Z736" s="49"/>
    </row>
    <row r="737" ht="15.0" customHeight="1">
      <c r="A737" s="7" t="s">
        <v>3285</v>
      </c>
      <c r="B737" s="7" t="s">
        <v>3286</v>
      </c>
      <c r="C737" s="7" t="s">
        <v>3287</v>
      </c>
      <c r="D737" s="7" t="s">
        <v>178</v>
      </c>
      <c r="E737" s="7" t="s">
        <v>259</v>
      </c>
      <c r="F737" s="7" t="s">
        <v>71</v>
      </c>
      <c r="G737" s="11" t="s">
        <v>57</v>
      </c>
      <c r="H737" s="11" t="s">
        <v>55</v>
      </c>
      <c r="I737" s="11" t="s">
        <v>55</v>
      </c>
      <c r="J737" s="7" t="s">
        <v>55</v>
      </c>
      <c r="K737" s="7"/>
      <c r="L737" s="14" t="str">
        <f t="shared" si="1"/>
        <v>Não</v>
      </c>
      <c r="M737" s="11"/>
      <c r="N737" s="7"/>
      <c r="O737" s="7" t="s">
        <v>55</v>
      </c>
      <c r="P737" s="7"/>
      <c r="Q737" s="16" t="s">
        <v>57</v>
      </c>
      <c r="R737" s="16" t="s">
        <v>55</v>
      </c>
      <c r="S737" s="16" t="s">
        <v>55</v>
      </c>
      <c r="T737" s="16" t="s">
        <v>55</v>
      </c>
      <c r="U737" s="16" t="s">
        <v>57</v>
      </c>
      <c r="V737" s="16" t="s">
        <v>225</v>
      </c>
      <c r="W737" s="16"/>
      <c r="X737" s="49"/>
      <c r="Y737" s="49"/>
      <c r="Z737" s="49"/>
    </row>
    <row r="738" ht="28.5" customHeight="1">
      <c r="A738" s="7" t="s">
        <v>3288</v>
      </c>
      <c r="B738" s="7" t="s">
        <v>3289</v>
      </c>
      <c r="C738" s="7" t="s">
        <v>3290</v>
      </c>
      <c r="D738" s="7" t="s">
        <v>178</v>
      </c>
      <c r="E738" s="7" t="s">
        <v>85</v>
      </c>
      <c r="F738" s="7" t="s">
        <v>71</v>
      </c>
      <c r="G738" s="11" t="s">
        <v>55</v>
      </c>
      <c r="H738" s="11" t="s">
        <v>55</v>
      </c>
      <c r="I738" s="11" t="s">
        <v>55</v>
      </c>
      <c r="J738" s="7" t="s">
        <v>55</v>
      </c>
      <c r="K738" s="11" t="s">
        <v>3291</v>
      </c>
      <c r="L738" s="14" t="str">
        <f t="shared" si="1"/>
        <v>Não</v>
      </c>
      <c r="M738" s="7"/>
      <c r="N738" s="7"/>
      <c r="O738" s="7" t="s">
        <v>55</v>
      </c>
      <c r="P738" s="7"/>
      <c r="Q738" s="16" t="s">
        <v>55</v>
      </c>
      <c r="R738" s="16" t="s">
        <v>55</v>
      </c>
      <c r="S738" s="16" t="s">
        <v>55</v>
      </c>
      <c r="T738" s="16" t="s">
        <v>55</v>
      </c>
      <c r="U738" s="16" t="s">
        <v>55</v>
      </c>
      <c r="V738" s="16" t="s">
        <v>184</v>
      </c>
      <c r="W738" s="16" t="s">
        <v>3292</v>
      </c>
      <c r="X738" s="49"/>
      <c r="Y738" s="49"/>
      <c r="Z738" s="49"/>
    </row>
    <row r="739" ht="15.0" customHeight="1">
      <c r="A739" s="7" t="s">
        <v>3293</v>
      </c>
      <c r="B739" s="7" t="s">
        <v>3294</v>
      </c>
      <c r="C739" s="7" t="s">
        <v>3295</v>
      </c>
      <c r="D739" s="7" t="s">
        <v>178</v>
      </c>
      <c r="E739" s="7" t="s">
        <v>85</v>
      </c>
      <c r="F739" s="7" t="s">
        <v>71</v>
      </c>
      <c r="G739" s="11" t="s">
        <v>57</v>
      </c>
      <c r="H739" s="11" t="s">
        <v>55</v>
      </c>
      <c r="I739" s="11" t="s">
        <v>55</v>
      </c>
      <c r="J739" s="7" t="s">
        <v>55</v>
      </c>
      <c r="K739" s="7"/>
      <c r="L739" s="14" t="str">
        <f t="shared" si="1"/>
        <v>Não</v>
      </c>
      <c r="M739" s="11"/>
      <c r="N739" s="7"/>
      <c r="O739" s="7" t="s">
        <v>55</v>
      </c>
      <c r="P739" s="7"/>
      <c r="Q739" s="16" t="s">
        <v>57</v>
      </c>
      <c r="R739" s="16" t="s">
        <v>55</v>
      </c>
      <c r="S739" s="16" t="s">
        <v>55</v>
      </c>
      <c r="T739" s="16" t="s">
        <v>55</v>
      </c>
      <c r="U739" s="16" t="s">
        <v>57</v>
      </c>
      <c r="V739" s="16" t="s">
        <v>225</v>
      </c>
      <c r="W739" s="16"/>
      <c r="X739" s="49"/>
      <c r="Y739" s="49"/>
      <c r="Z739" s="49"/>
    </row>
    <row r="740" ht="15.0" customHeight="1">
      <c r="A740" s="7" t="s">
        <v>3296</v>
      </c>
      <c r="B740" s="7" t="s">
        <v>3297</v>
      </c>
      <c r="C740" s="7" t="s">
        <v>3298</v>
      </c>
      <c r="D740" s="7" t="s">
        <v>178</v>
      </c>
      <c r="E740" s="7" t="s">
        <v>194</v>
      </c>
      <c r="F740" s="7" t="s">
        <v>71</v>
      </c>
      <c r="G740" s="11" t="s">
        <v>57</v>
      </c>
      <c r="H740" s="11" t="s">
        <v>55</v>
      </c>
      <c r="I740" s="11" t="s">
        <v>55</v>
      </c>
      <c r="J740" s="7" t="s">
        <v>55</v>
      </c>
      <c r="K740" s="7"/>
      <c r="L740" s="14" t="str">
        <f t="shared" si="1"/>
        <v>Não</v>
      </c>
      <c r="M740" s="11"/>
      <c r="N740" s="7"/>
      <c r="O740" s="7" t="s">
        <v>55</v>
      </c>
      <c r="P740" s="7"/>
      <c r="Q740" s="16" t="s">
        <v>57</v>
      </c>
      <c r="R740" s="16" t="s">
        <v>55</v>
      </c>
      <c r="S740" s="16" t="s">
        <v>55</v>
      </c>
      <c r="T740" s="16" t="s">
        <v>55</v>
      </c>
      <c r="U740" s="16" t="s">
        <v>57</v>
      </c>
      <c r="V740" s="16" t="s">
        <v>225</v>
      </c>
      <c r="W740" s="16"/>
      <c r="X740" s="49"/>
      <c r="Y740" s="49"/>
      <c r="Z740" s="49"/>
    </row>
    <row r="741" ht="15.0" customHeight="1">
      <c r="A741" s="7" t="s">
        <v>3299</v>
      </c>
      <c r="B741" s="7" t="s">
        <v>3300</v>
      </c>
      <c r="C741" s="7" t="s">
        <v>3301</v>
      </c>
      <c r="D741" s="7" t="s">
        <v>178</v>
      </c>
      <c r="E741" s="7" t="s">
        <v>300</v>
      </c>
      <c r="F741" s="7" t="s">
        <v>71</v>
      </c>
      <c r="G741" s="11" t="s">
        <v>57</v>
      </c>
      <c r="H741" s="11" t="s">
        <v>55</v>
      </c>
      <c r="I741" s="11" t="s">
        <v>55</v>
      </c>
      <c r="J741" s="7" t="s">
        <v>55</v>
      </c>
      <c r="K741" s="7"/>
      <c r="L741" s="14" t="str">
        <f t="shared" si="1"/>
        <v>Não</v>
      </c>
      <c r="M741" s="11"/>
      <c r="N741" s="7"/>
      <c r="O741" s="7" t="s">
        <v>55</v>
      </c>
      <c r="P741" s="7"/>
      <c r="Q741" s="16" t="s">
        <v>57</v>
      </c>
      <c r="R741" s="16" t="s">
        <v>55</v>
      </c>
      <c r="S741" s="16" t="s">
        <v>55</v>
      </c>
      <c r="T741" s="16" t="s">
        <v>55</v>
      </c>
      <c r="U741" s="16" t="s">
        <v>57</v>
      </c>
      <c r="V741" s="16" t="s">
        <v>1440</v>
      </c>
      <c r="W741" s="16"/>
      <c r="X741" s="49"/>
      <c r="Y741" s="49"/>
      <c r="Z741" s="49"/>
    </row>
    <row r="742" ht="15.0" customHeight="1">
      <c r="A742" s="7" t="s">
        <v>3302</v>
      </c>
      <c r="B742" s="7" t="s">
        <v>3303</v>
      </c>
      <c r="C742" s="7" t="s">
        <v>3304</v>
      </c>
      <c r="D742" s="7" t="s">
        <v>178</v>
      </c>
      <c r="E742" s="7" t="s">
        <v>286</v>
      </c>
      <c r="F742" s="7" t="s">
        <v>71</v>
      </c>
      <c r="G742" s="11" t="s">
        <v>57</v>
      </c>
      <c r="H742" s="11" t="s">
        <v>55</v>
      </c>
      <c r="I742" s="11" t="s">
        <v>55</v>
      </c>
      <c r="J742" s="7" t="s">
        <v>55</v>
      </c>
      <c r="K742" s="7"/>
      <c r="L742" s="14" t="str">
        <f t="shared" si="1"/>
        <v>Não</v>
      </c>
      <c r="M742" s="11"/>
      <c r="N742" s="7"/>
      <c r="O742" s="7" t="s">
        <v>55</v>
      </c>
      <c r="P742" s="7"/>
      <c r="Q742" s="16" t="s">
        <v>57</v>
      </c>
      <c r="R742" s="16" t="s">
        <v>55</v>
      </c>
      <c r="S742" s="16" t="s">
        <v>55</v>
      </c>
      <c r="T742" s="16" t="s">
        <v>55</v>
      </c>
      <c r="U742" s="16" t="s">
        <v>57</v>
      </c>
      <c r="V742" s="16" t="s">
        <v>1440</v>
      </c>
      <c r="W742" s="16"/>
      <c r="X742" s="49"/>
      <c r="Y742" s="49"/>
      <c r="Z742" s="49"/>
    </row>
    <row r="743" ht="15.0" customHeight="1">
      <c r="A743" s="7" t="s">
        <v>3305</v>
      </c>
      <c r="B743" s="7" t="s">
        <v>3306</v>
      </c>
      <c r="C743" s="7" t="s">
        <v>3307</v>
      </c>
      <c r="D743" s="7" t="s">
        <v>178</v>
      </c>
      <c r="E743" s="7" t="s">
        <v>300</v>
      </c>
      <c r="F743" s="7" t="s">
        <v>71</v>
      </c>
      <c r="G743" s="11" t="s">
        <v>57</v>
      </c>
      <c r="H743" s="11" t="s">
        <v>55</v>
      </c>
      <c r="I743" s="11" t="s">
        <v>55</v>
      </c>
      <c r="J743" s="7" t="s">
        <v>55</v>
      </c>
      <c r="K743" s="7"/>
      <c r="L743" s="14" t="str">
        <f t="shared" si="1"/>
        <v>Não</v>
      </c>
      <c r="M743" s="11"/>
      <c r="N743" s="7"/>
      <c r="O743" s="7" t="s">
        <v>55</v>
      </c>
      <c r="P743" s="7"/>
      <c r="Q743" s="16" t="s">
        <v>57</v>
      </c>
      <c r="R743" s="16" t="s">
        <v>55</v>
      </c>
      <c r="S743" s="16" t="s">
        <v>55</v>
      </c>
      <c r="T743" s="16" t="s">
        <v>55</v>
      </c>
      <c r="U743" s="16" t="s">
        <v>57</v>
      </c>
      <c r="V743" s="16" t="s">
        <v>1440</v>
      </c>
      <c r="W743" s="16"/>
      <c r="X743" s="49"/>
      <c r="Y743" s="49"/>
      <c r="Z743" s="49"/>
    </row>
    <row r="744" ht="15.0" customHeight="1">
      <c r="A744" s="7" t="s">
        <v>3308</v>
      </c>
      <c r="B744" s="7" t="s">
        <v>3309</v>
      </c>
      <c r="C744" s="7" t="s">
        <v>3310</v>
      </c>
      <c r="D744" s="7" t="s">
        <v>178</v>
      </c>
      <c r="E744" s="7" t="s">
        <v>300</v>
      </c>
      <c r="F744" s="7" t="s">
        <v>71</v>
      </c>
      <c r="G744" s="11" t="s">
        <v>57</v>
      </c>
      <c r="H744" s="11" t="s">
        <v>55</v>
      </c>
      <c r="I744" s="11" t="s">
        <v>55</v>
      </c>
      <c r="J744" s="7" t="s">
        <v>55</v>
      </c>
      <c r="K744" s="7"/>
      <c r="L744" s="14" t="str">
        <f t="shared" si="1"/>
        <v>Não</v>
      </c>
      <c r="M744" s="11"/>
      <c r="N744" s="7"/>
      <c r="O744" s="7" t="s">
        <v>55</v>
      </c>
      <c r="P744" s="7"/>
      <c r="Q744" s="16" t="s">
        <v>57</v>
      </c>
      <c r="R744" s="16" t="s">
        <v>55</v>
      </c>
      <c r="S744" s="16" t="s">
        <v>55</v>
      </c>
      <c r="T744" s="16" t="s">
        <v>55</v>
      </c>
      <c r="U744" s="16" t="s">
        <v>57</v>
      </c>
      <c r="V744" s="16" t="s">
        <v>1440</v>
      </c>
      <c r="W744" s="16"/>
      <c r="X744" s="49"/>
      <c r="Y744" s="49"/>
      <c r="Z744" s="49"/>
    </row>
    <row r="745" ht="40.5" customHeight="1">
      <c r="A745" s="7" t="s">
        <v>3311</v>
      </c>
      <c r="B745" s="7" t="s">
        <v>3312</v>
      </c>
      <c r="C745" s="7" t="s">
        <v>3313</v>
      </c>
      <c r="D745" s="7" t="s">
        <v>178</v>
      </c>
      <c r="E745" s="7" t="s">
        <v>138</v>
      </c>
      <c r="F745" s="7" t="s">
        <v>71</v>
      </c>
      <c r="G745" s="11" t="s">
        <v>55</v>
      </c>
      <c r="H745" s="11" t="s">
        <v>55</v>
      </c>
      <c r="I745" s="11" t="s">
        <v>55</v>
      </c>
      <c r="J745" s="7" t="s">
        <v>55</v>
      </c>
      <c r="K745" s="11" t="s">
        <v>3314</v>
      </c>
      <c r="L745" s="14" t="str">
        <f t="shared" si="1"/>
        <v>Não</v>
      </c>
      <c r="M745" s="7"/>
      <c r="N745" s="7"/>
      <c r="O745" s="7" t="s">
        <v>55</v>
      </c>
      <c r="P745" s="7"/>
      <c r="Q745" s="16" t="s">
        <v>55</v>
      </c>
      <c r="R745" s="16" t="s">
        <v>55</v>
      </c>
      <c r="S745" s="16" t="s">
        <v>55</v>
      </c>
      <c r="T745" s="16" t="s">
        <v>55</v>
      </c>
      <c r="U745" s="16" t="s">
        <v>55</v>
      </c>
      <c r="V745" s="16" t="s">
        <v>184</v>
      </c>
      <c r="W745" s="16" t="s">
        <v>3315</v>
      </c>
      <c r="X745" s="49"/>
      <c r="Y745" s="49"/>
      <c r="Z745" s="49"/>
    </row>
    <row r="746" ht="15.0" customHeight="1">
      <c r="A746" s="7" t="s">
        <v>3316</v>
      </c>
      <c r="B746" s="7" t="s">
        <v>3317</v>
      </c>
      <c r="C746" s="7" t="s">
        <v>3318</v>
      </c>
      <c r="D746" s="7" t="s">
        <v>178</v>
      </c>
      <c r="E746" s="7" t="s">
        <v>291</v>
      </c>
      <c r="F746" s="7" t="s">
        <v>71</v>
      </c>
      <c r="G746" s="11" t="s">
        <v>55</v>
      </c>
      <c r="H746" s="11" t="s">
        <v>55</v>
      </c>
      <c r="I746" s="11" t="s">
        <v>55</v>
      </c>
      <c r="J746" s="7" t="s">
        <v>55</v>
      </c>
      <c r="K746" s="11" t="s">
        <v>3319</v>
      </c>
      <c r="L746" s="14" t="str">
        <f t="shared" si="1"/>
        <v>Não</v>
      </c>
      <c r="M746" s="7"/>
      <c r="N746" s="7"/>
      <c r="O746" s="7" t="s">
        <v>55</v>
      </c>
      <c r="P746" s="7"/>
      <c r="Q746" s="16" t="s">
        <v>55</v>
      </c>
      <c r="R746" s="16" t="s">
        <v>55</v>
      </c>
      <c r="S746" s="16" t="s">
        <v>55</v>
      </c>
      <c r="T746" s="16" t="s">
        <v>55</v>
      </c>
      <c r="U746" s="16" t="s">
        <v>55</v>
      </c>
      <c r="V746" s="16" t="s">
        <v>184</v>
      </c>
      <c r="W746" s="16" t="s">
        <v>3320</v>
      </c>
      <c r="X746" s="49"/>
      <c r="Y746" s="49"/>
      <c r="Z746" s="49"/>
    </row>
    <row r="747" ht="15.0" customHeight="1">
      <c r="A747" s="7" t="s">
        <v>3321</v>
      </c>
      <c r="B747" s="7" t="s">
        <v>3322</v>
      </c>
      <c r="C747" s="7" t="s">
        <v>3323</v>
      </c>
      <c r="D747" s="7" t="s">
        <v>178</v>
      </c>
      <c r="E747" s="7" t="s">
        <v>306</v>
      </c>
      <c r="F747" s="7" t="s">
        <v>71</v>
      </c>
      <c r="G747" s="11" t="s">
        <v>57</v>
      </c>
      <c r="H747" s="11" t="s">
        <v>55</v>
      </c>
      <c r="I747" s="11" t="s">
        <v>55</v>
      </c>
      <c r="J747" s="7" t="s">
        <v>55</v>
      </c>
      <c r="K747" s="7"/>
      <c r="L747" s="14" t="str">
        <f t="shared" si="1"/>
        <v>Não</v>
      </c>
      <c r="M747" s="11"/>
      <c r="N747" s="7"/>
      <c r="O747" s="7" t="s">
        <v>55</v>
      </c>
      <c r="P747" s="7"/>
      <c r="Q747" s="16" t="s">
        <v>57</v>
      </c>
      <c r="R747" s="16" t="s">
        <v>55</v>
      </c>
      <c r="S747" s="16" t="s">
        <v>55</v>
      </c>
      <c r="T747" s="16" t="s">
        <v>55</v>
      </c>
      <c r="U747" s="16" t="s">
        <v>57</v>
      </c>
      <c r="V747" s="16" t="s">
        <v>225</v>
      </c>
      <c r="W747" s="16"/>
      <c r="X747" s="49"/>
      <c r="Y747" s="49"/>
      <c r="Z747" s="49"/>
    </row>
    <row r="748" ht="15.0" customHeight="1">
      <c r="A748" s="7" t="s">
        <v>3324</v>
      </c>
      <c r="B748" s="7" t="s">
        <v>3325</v>
      </c>
      <c r="C748" s="7" t="s">
        <v>3326</v>
      </c>
      <c r="D748" s="7" t="s">
        <v>178</v>
      </c>
      <c r="E748" s="7" t="s">
        <v>243</v>
      </c>
      <c r="F748" s="7" t="s">
        <v>71</v>
      </c>
      <c r="G748" s="11" t="s">
        <v>55</v>
      </c>
      <c r="H748" s="11" t="s">
        <v>55</v>
      </c>
      <c r="I748" s="11" t="s">
        <v>55</v>
      </c>
      <c r="J748" s="7" t="s">
        <v>55</v>
      </c>
      <c r="K748" s="7"/>
      <c r="L748" s="14" t="str">
        <f t="shared" si="1"/>
        <v>Sim</v>
      </c>
      <c r="M748" s="11"/>
      <c r="N748" s="7"/>
      <c r="O748" s="7" t="s">
        <v>55</v>
      </c>
      <c r="P748" s="7"/>
      <c r="Q748" s="16" t="s">
        <v>55</v>
      </c>
      <c r="R748" s="16" t="s">
        <v>55</v>
      </c>
      <c r="S748" s="16" t="s">
        <v>55</v>
      </c>
      <c r="T748" s="16" t="s">
        <v>55</v>
      </c>
      <c r="U748" s="16" t="s">
        <v>55</v>
      </c>
      <c r="V748" s="16" t="s">
        <v>184</v>
      </c>
      <c r="W748" s="16"/>
      <c r="X748" s="49"/>
      <c r="Y748" s="49"/>
      <c r="Z748" s="49"/>
    </row>
    <row r="749" ht="15.0" customHeight="1">
      <c r="A749" s="7" t="s">
        <v>3327</v>
      </c>
      <c r="B749" s="7" t="s">
        <v>3328</v>
      </c>
      <c r="C749" s="7" t="s">
        <v>3329</v>
      </c>
      <c r="D749" s="7" t="s">
        <v>178</v>
      </c>
      <c r="E749" s="7" t="s">
        <v>148</v>
      </c>
      <c r="F749" s="7" t="s">
        <v>71</v>
      </c>
      <c r="G749" s="11" t="s">
        <v>57</v>
      </c>
      <c r="H749" s="11" t="s">
        <v>55</v>
      </c>
      <c r="I749" s="11" t="s">
        <v>55</v>
      </c>
      <c r="J749" s="7" t="s">
        <v>55</v>
      </c>
      <c r="K749" s="7"/>
      <c r="L749" s="14" t="str">
        <f t="shared" si="1"/>
        <v>Não</v>
      </c>
      <c r="M749" s="11"/>
      <c r="N749" s="7"/>
      <c r="O749" s="7" t="s">
        <v>55</v>
      </c>
      <c r="P749" s="7"/>
      <c r="Q749" s="16" t="s">
        <v>57</v>
      </c>
      <c r="R749" s="16" t="s">
        <v>55</v>
      </c>
      <c r="S749" s="16" t="s">
        <v>55</v>
      </c>
      <c r="T749" s="16" t="s">
        <v>55</v>
      </c>
      <c r="U749" s="16" t="s">
        <v>57</v>
      </c>
      <c r="V749" s="16" t="s">
        <v>225</v>
      </c>
      <c r="W749" s="16"/>
      <c r="X749" s="49"/>
      <c r="Y749" s="49"/>
      <c r="Z749" s="49"/>
    </row>
    <row r="750" ht="30.75" customHeight="1">
      <c r="A750" s="7" t="s">
        <v>3330</v>
      </c>
      <c r="B750" s="7" t="s">
        <v>3331</v>
      </c>
      <c r="C750" s="7" t="s">
        <v>3332</v>
      </c>
      <c r="D750" s="7" t="s">
        <v>178</v>
      </c>
      <c r="E750" s="7" t="s">
        <v>267</v>
      </c>
      <c r="F750" s="7" t="s">
        <v>71</v>
      </c>
      <c r="G750" s="11" t="s">
        <v>55</v>
      </c>
      <c r="H750" s="11" t="s">
        <v>55</v>
      </c>
      <c r="I750" s="11" t="s">
        <v>55</v>
      </c>
      <c r="J750" s="7" t="s">
        <v>55</v>
      </c>
      <c r="K750" s="11" t="s">
        <v>3333</v>
      </c>
      <c r="L750" s="14" t="str">
        <f t="shared" si="1"/>
        <v>Não</v>
      </c>
      <c r="M750" s="7"/>
      <c r="N750" s="7"/>
      <c r="O750" s="7" t="s">
        <v>55</v>
      </c>
      <c r="P750" s="7"/>
      <c r="Q750" s="16" t="s">
        <v>55</v>
      </c>
      <c r="R750" s="16" t="s">
        <v>55</v>
      </c>
      <c r="S750" s="16" t="s">
        <v>55</v>
      </c>
      <c r="T750" s="16" t="s">
        <v>55</v>
      </c>
      <c r="U750" s="16" t="s">
        <v>55</v>
      </c>
      <c r="V750" s="16" t="s">
        <v>184</v>
      </c>
      <c r="W750" s="16" t="s">
        <v>3334</v>
      </c>
      <c r="X750" s="49"/>
      <c r="Y750" s="49"/>
      <c r="Z750" s="49"/>
    </row>
    <row r="751" ht="15.0" customHeight="1">
      <c r="A751" s="7" t="s">
        <v>3335</v>
      </c>
      <c r="B751" s="7" t="s">
        <v>3336</v>
      </c>
      <c r="C751" s="7" t="s">
        <v>2275</v>
      </c>
      <c r="D751" s="7" t="s">
        <v>178</v>
      </c>
      <c r="E751" s="7" t="s">
        <v>194</v>
      </c>
      <c r="F751" s="7" t="s">
        <v>71</v>
      </c>
      <c r="G751" s="11" t="s">
        <v>55</v>
      </c>
      <c r="H751" s="11" t="s">
        <v>55</v>
      </c>
      <c r="I751" s="11" t="s">
        <v>55</v>
      </c>
      <c r="J751" s="7" t="s">
        <v>55</v>
      </c>
      <c r="K751" s="11" t="s">
        <v>3337</v>
      </c>
      <c r="L751" s="14" t="str">
        <f t="shared" si="1"/>
        <v>Não</v>
      </c>
      <c r="M751" s="7"/>
      <c r="N751" s="7"/>
      <c r="O751" s="7" t="s">
        <v>55</v>
      </c>
      <c r="P751" s="7"/>
      <c r="Q751" s="16" t="s">
        <v>55</v>
      </c>
      <c r="R751" s="16" t="s">
        <v>55</v>
      </c>
      <c r="S751" s="16" t="s">
        <v>55</v>
      </c>
      <c r="T751" s="16" t="s">
        <v>55</v>
      </c>
      <c r="U751" s="16" t="s">
        <v>55</v>
      </c>
      <c r="V751" s="16" t="s">
        <v>1577</v>
      </c>
      <c r="W751" s="16" t="s">
        <v>3338</v>
      </c>
      <c r="X751" s="49"/>
      <c r="Y751" s="49"/>
      <c r="Z751" s="49"/>
    </row>
    <row r="752" ht="15.0" customHeight="1">
      <c r="A752" s="7" t="s">
        <v>3339</v>
      </c>
      <c r="B752" s="7" t="s">
        <v>3340</v>
      </c>
      <c r="C752" s="7" t="s">
        <v>3341</v>
      </c>
      <c r="D752" s="7" t="s">
        <v>178</v>
      </c>
      <c r="E752" s="7" t="s">
        <v>250</v>
      </c>
      <c r="F752" s="7" t="s">
        <v>71</v>
      </c>
      <c r="G752" s="11" t="s">
        <v>55</v>
      </c>
      <c r="H752" s="11" t="s">
        <v>55</v>
      </c>
      <c r="I752" s="11" t="s">
        <v>55</v>
      </c>
      <c r="J752" s="7" t="s">
        <v>55</v>
      </c>
      <c r="K752" s="11" t="s">
        <v>3342</v>
      </c>
      <c r="L752" s="14" t="str">
        <f t="shared" si="1"/>
        <v>Não</v>
      </c>
      <c r="M752" s="7"/>
      <c r="N752" s="7"/>
      <c r="O752" s="7" t="s">
        <v>55</v>
      </c>
      <c r="P752" s="7"/>
      <c r="Q752" s="16" t="s">
        <v>55</v>
      </c>
      <c r="R752" s="16" t="s">
        <v>55</v>
      </c>
      <c r="S752" s="16" t="s">
        <v>55</v>
      </c>
      <c r="T752" s="16" t="s">
        <v>55</v>
      </c>
      <c r="U752" s="16" t="s">
        <v>55</v>
      </c>
      <c r="V752" s="16" t="s">
        <v>184</v>
      </c>
      <c r="W752" s="16" t="s">
        <v>3343</v>
      </c>
      <c r="X752" s="49"/>
      <c r="Y752" s="49"/>
      <c r="Z752" s="49"/>
    </row>
    <row r="753" ht="15.0" customHeight="1">
      <c r="A753" s="7" t="s">
        <v>3344</v>
      </c>
      <c r="B753" s="7" t="s">
        <v>3345</v>
      </c>
      <c r="C753" s="7" t="s">
        <v>3346</v>
      </c>
      <c r="D753" s="7" t="s">
        <v>178</v>
      </c>
      <c r="E753" s="7" t="s">
        <v>300</v>
      </c>
      <c r="F753" s="7" t="s">
        <v>71</v>
      </c>
      <c r="G753" s="11" t="s">
        <v>57</v>
      </c>
      <c r="H753" s="11" t="s">
        <v>55</v>
      </c>
      <c r="I753" s="11" t="s">
        <v>55</v>
      </c>
      <c r="J753" s="7" t="s">
        <v>55</v>
      </c>
      <c r="K753" s="7"/>
      <c r="L753" s="14" t="str">
        <f t="shared" si="1"/>
        <v>Não</v>
      </c>
      <c r="M753" s="11"/>
      <c r="N753" s="7"/>
      <c r="O753" s="7" t="s">
        <v>55</v>
      </c>
      <c r="P753" s="7"/>
      <c r="Q753" s="16" t="s">
        <v>57</v>
      </c>
      <c r="R753" s="16" t="s">
        <v>55</v>
      </c>
      <c r="S753" s="16" t="s">
        <v>55</v>
      </c>
      <c r="T753" s="16" t="s">
        <v>55</v>
      </c>
      <c r="U753" s="16" t="s">
        <v>57</v>
      </c>
      <c r="V753" s="16" t="s">
        <v>1440</v>
      </c>
      <c r="W753" s="16"/>
      <c r="X753" s="49"/>
      <c r="Y753" s="49"/>
      <c r="Z753" s="49"/>
    </row>
    <row r="754" ht="15.0" customHeight="1">
      <c r="A754" s="7" t="s">
        <v>3347</v>
      </c>
      <c r="B754" s="7" t="s">
        <v>3348</v>
      </c>
      <c r="C754" s="7" t="s">
        <v>3349</v>
      </c>
      <c r="D754" s="7" t="s">
        <v>178</v>
      </c>
      <c r="E754" s="7" t="s">
        <v>138</v>
      </c>
      <c r="F754" s="7" t="s">
        <v>71</v>
      </c>
      <c r="G754" s="11" t="s">
        <v>55</v>
      </c>
      <c r="H754" s="11" t="s">
        <v>55</v>
      </c>
      <c r="I754" s="11" t="s">
        <v>55</v>
      </c>
      <c r="J754" s="7" t="s">
        <v>55</v>
      </c>
      <c r="K754" s="11" t="s">
        <v>3350</v>
      </c>
      <c r="L754" s="14" t="str">
        <f t="shared" si="1"/>
        <v>Não</v>
      </c>
      <c r="M754" s="7"/>
      <c r="N754" s="7"/>
      <c r="O754" s="7" t="s">
        <v>55</v>
      </c>
      <c r="P754" s="7"/>
      <c r="Q754" s="16" t="s">
        <v>55</v>
      </c>
      <c r="R754" s="16" t="s">
        <v>55</v>
      </c>
      <c r="S754" s="16" t="s">
        <v>55</v>
      </c>
      <c r="T754" s="16" t="s">
        <v>55</v>
      </c>
      <c r="U754" s="16" t="s">
        <v>55</v>
      </c>
      <c r="V754" s="16" t="s">
        <v>184</v>
      </c>
      <c r="W754" s="16" t="s">
        <v>3351</v>
      </c>
      <c r="X754" s="49"/>
      <c r="Y754" s="49"/>
      <c r="Z754" s="49"/>
    </row>
    <row r="755" ht="28.5" customHeight="1">
      <c r="A755" s="7" t="s">
        <v>3352</v>
      </c>
      <c r="B755" s="7" t="s">
        <v>3353</v>
      </c>
      <c r="C755" s="7" t="s">
        <v>3354</v>
      </c>
      <c r="D755" s="7" t="s">
        <v>178</v>
      </c>
      <c r="E755" s="7" t="s">
        <v>138</v>
      </c>
      <c r="F755" s="7" t="s">
        <v>71</v>
      </c>
      <c r="G755" s="11" t="s">
        <v>55</v>
      </c>
      <c r="H755" s="11" t="s">
        <v>55</v>
      </c>
      <c r="I755" s="11" t="s">
        <v>55</v>
      </c>
      <c r="J755" s="7" t="s">
        <v>55</v>
      </c>
      <c r="K755" s="11" t="s">
        <v>3355</v>
      </c>
      <c r="L755" s="14" t="str">
        <f t="shared" si="1"/>
        <v>Não</v>
      </c>
      <c r="M755" s="7"/>
      <c r="N755" s="7"/>
      <c r="O755" s="7" t="s">
        <v>55</v>
      </c>
      <c r="P755" s="7"/>
      <c r="Q755" s="16" t="s">
        <v>55</v>
      </c>
      <c r="R755" s="16" t="s">
        <v>55</v>
      </c>
      <c r="S755" s="16" t="s">
        <v>55</v>
      </c>
      <c r="T755" s="16" t="s">
        <v>55</v>
      </c>
      <c r="U755" s="16" t="s">
        <v>55</v>
      </c>
      <c r="V755" s="16" t="s">
        <v>184</v>
      </c>
      <c r="W755" s="16" t="s">
        <v>3356</v>
      </c>
      <c r="X755" s="49"/>
      <c r="Y755" s="49"/>
      <c r="Z755" s="49"/>
    </row>
    <row r="756" ht="15.0" customHeight="1">
      <c r="A756" s="7" t="s">
        <v>3357</v>
      </c>
      <c r="B756" s="7" t="s">
        <v>3358</v>
      </c>
      <c r="C756" s="7" t="s">
        <v>3359</v>
      </c>
      <c r="D756" s="7" t="s">
        <v>178</v>
      </c>
      <c r="E756" s="7" t="s">
        <v>194</v>
      </c>
      <c r="F756" s="7" t="s">
        <v>71</v>
      </c>
      <c r="G756" s="11" t="s">
        <v>57</v>
      </c>
      <c r="H756" s="11" t="s">
        <v>55</v>
      </c>
      <c r="I756" s="11" t="s">
        <v>55</v>
      </c>
      <c r="J756" s="7" t="s">
        <v>55</v>
      </c>
      <c r="K756" s="7"/>
      <c r="L756" s="14" t="str">
        <f t="shared" si="1"/>
        <v>Não</v>
      </c>
      <c r="M756" s="11"/>
      <c r="N756" s="7"/>
      <c r="O756" s="7" t="s">
        <v>55</v>
      </c>
      <c r="P756" s="7"/>
      <c r="Q756" s="16" t="s">
        <v>57</v>
      </c>
      <c r="R756" s="16" t="s">
        <v>55</v>
      </c>
      <c r="S756" s="16" t="s">
        <v>55</v>
      </c>
      <c r="T756" s="16" t="s">
        <v>55</v>
      </c>
      <c r="U756" s="16" t="s">
        <v>57</v>
      </c>
      <c r="V756" s="16" t="s">
        <v>225</v>
      </c>
      <c r="W756" s="16"/>
      <c r="X756" s="49"/>
      <c r="Y756" s="49"/>
      <c r="Z756" s="49"/>
    </row>
    <row r="757" ht="15.0" customHeight="1">
      <c r="A757" s="7" t="s">
        <v>3360</v>
      </c>
      <c r="B757" s="7" t="s">
        <v>3361</v>
      </c>
      <c r="C757" s="7" t="s">
        <v>3362</v>
      </c>
      <c r="D757" s="7" t="s">
        <v>178</v>
      </c>
      <c r="E757" s="7" t="s">
        <v>250</v>
      </c>
      <c r="F757" s="7" t="s">
        <v>71</v>
      </c>
      <c r="G757" s="11" t="s">
        <v>55</v>
      </c>
      <c r="H757" s="11" t="s">
        <v>55</v>
      </c>
      <c r="I757" s="11" t="s">
        <v>55</v>
      </c>
      <c r="J757" s="7" t="s">
        <v>55</v>
      </c>
      <c r="K757" s="11" t="s">
        <v>3363</v>
      </c>
      <c r="L757" s="14" t="str">
        <f t="shared" si="1"/>
        <v>Não</v>
      </c>
      <c r="M757" s="7"/>
      <c r="N757" s="7"/>
      <c r="O757" s="7" t="s">
        <v>55</v>
      </c>
      <c r="P757" s="7"/>
      <c r="Q757" s="16" t="s">
        <v>55</v>
      </c>
      <c r="R757" s="16" t="s">
        <v>55</v>
      </c>
      <c r="S757" s="16" t="s">
        <v>55</v>
      </c>
      <c r="T757" s="16" t="s">
        <v>55</v>
      </c>
      <c r="U757" s="16" t="s">
        <v>55</v>
      </c>
      <c r="V757" s="16" t="s">
        <v>184</v>
      </c>
      <c r="W757" s="16" t="s">
        <v>3364</v>
      </c>
      <c r="X757" s="49"/>
      <c r="Y757" s="49"/>
      <c r="Z757" s="49"/>
    </row>
    <row r="758" ht="29.25" customHeight="1">
      <c r="A758" s="7" t="s">
        <v>3365</v>
      </c>
      <c r="B758" s="7" t="s">
        <v>3366</v>
      </c>
      <c r="C758" s="7" t="s">
        <v>3367</v>
      </c>
      <c r="D758" s="7" t="s">
        <v>178</v>
      </c>
      <c r="E758" s="7" t="s">
        <v>80</v>
      </c>
      <c r="F758" s="7" t="s">
        <v>71</v>
      </c>
      <c r="G758" s="11" t="s">
        <v>55</v>
      </c>
      <c r="H758" s="11" t="s">
        <v>55</v>
      </c>
      <c r="I758" s="11" t="s">
        <v>55</v>
      </c>
      <c r="J758" s="7" t="s">
        <v>55</v>
      </c>
      <c r="K758" s="11" t="s">
        <v>3368</v>
      </c>
      <c r="L758" s="14" t="str">
        <f t="shared" si="1"/>
        <v>Não</v>
      </c>
      <c r="M758" s="7"/>
      <c r="N758" s="7"/>
      <c r="O758" s="7" t="s">
        <v>55</v>
      </c>
      <c r="P758" s="7"/>
      <c r="Q758" s="16" t="s">
        <v>55</v>
      </c>
      <c r="R758" s="16" t="s">
        <v>55</v>
      </c>
      <c r="S758" s="16" t="s">
        <v>55</v>
      </c>
      <c r="T758" s="16" t="s">
        <v>55</v>
      </c>
      <c r="U758" s="16" t="s">
        <v>55</v>
      </c>
      <c r="V758" s="16" t="s">
        <v>184</v>
      </c>
      <c r="W758" s="16" t="s">
        <v>3369</v>
      </c>
      <c r="X758" s="49"/>
      <c r="Y758" s="49"/>
      <c r="Z758" s="49"/>
    </row>
    <row r="759" ht="15.0" customHeight="1">
      <c r="A759" s="7" t="s">
        <v>3370</v>
      </c>
      <c r="B759" s="7" t="s">
        <v>3371</v>
      </c>
      <c r="C759" s="7" t="s">
        <v>3372</v>
      </c>
      <c r="D759" s="7" t="s">
        <v>178</v>
      </c>
      <c r="E759" s="7" t="s">
        <v>306</v>
      </c>
      <c r="F759" s="7" t="s">
        <v>71</v>
      </c>
      <c r="G759" s="11" t="s">
        <v>57</v>
      </c>
      <c r="H759" s="11" t="s">
        <v>55</v>
      </c>
      <c r="I759" s="11" t="s">
        <v>55</v>
      </c>
      <c r="J759" s="7" t="s">
        <v>55</v>
      </c>
      <c r="K759" s="7"/>
      <c r="L759" s="14" t="str">
        <f t="shared" si="1"/>
        <v>Não</v>
      </c>
      <c r="M759" s="11"/>
      <c r="N759" s="7"/>
      <c r="O759" s="7" t="s">
        <v>55</v>
      </c>
      <c r="P759" s="7"/>
      <c r="Q759" s="16" t="s">
        <v>57</v>
      </c>
      <c r="R759" s="16" t="s">
        <v>55</v>
      </c>
      <c r="S759" s="16" t="s">
        <v>55</v>
      </c>
      <c r="T759" s="16" t="s">
        <v>55</v>
      </c>
      <c r="U759" s="16" t="s">
        <v>57</v>
      </c>
      <c r="V759" s="16" t="s">
        <v>225</v>
      </c>
      <c r="W759" s="16"/>
      <c r="X759" s="49"/>
      <c r="Y759" s="49"/>
      <c r="Z759" s="49"/>
    </row>
    <row r="760" ht="15.0" customHeight="1">
      <c r="A760" s="7" t="s">
        <v>3373</v>
      </c>
      <c r="B760" s="7" t="s">
        <v>3374</v>
      </c>
      <c r="C760" s="7" t="s">
        <v>3375</v>
      </c>
      <c r="D760" s="7" t="s">
        <v>178</v>
      </c>
      <c r="E760" s="7" t="s">
        <v>250</v>
      </c>
      <c r="F760" s="7" t="s">
        <v>71</v>
      </c>
      <c r="G760" s="11" t="s">
        <v>55</v>
      </c>
      <c r="H760" s="11" t="s">
        <v>55</v>
      </c>
      <c r="I760" s="11" t="s">
        <v>55</v>
      </c>
      <c r="J760" s="7" t="s">
        <v>55</v>
      </c>
      <c r="K760" s="11" t="s">
        <v>3376</v>
      </c>
      <c r="L760" s="14" t="str">
        <f t="shared" si="1"/>
        <v>Não</v>
      </c>
      <c r="M760" s="7"/>
      <c r="N760" s="7"/>
      <c r="O760" s="7" t="s">
        <v>55</v>
      </c>
      <c r="P760" s="7"/>
      <c r="Q760" s="16" t="s">
        <v>55</v>
      </c>
      <c r="R760" s="16" t="s">
        <v>55</v>
      </c>
      <c r="S760" s="16" t="s">
        <v>55</v>
      </c>
      <c r="T760" s="16" t="s">
        <v>55</v>
      </c>
      <c r="U760" s="16" t="s">
        <v>55</v>
      </c>
      <c r="V760" s="16" t="s">
        <v>184</v>
      </c>
      <c r="W760" s="16" t="s">
        <v>3377</v>
      </c>
      <c r="X760" s="49"/>
      <c r="Y760" s="49"/>
      <c r="Z760" s="49"/>
    </row>
    <row r="761" ht="15.0" customHeight="1">
      <c r="A761" s="7" t="s">
        <v>3378</v>
      </c>
      <c r="B761" s="7" t="s">
        <v>3379</v>
      </c>
      <c r="C761" s="7" t="s">
        <v>3380</v>
      </c>
      <c r="D761" s="7" t="s">
        <v>178</v>
      </c>
      <c r="E761" s="7" t="s">
        <v>286</v>
      </c>
      <c r="F761" s="7" t="s">
        <v>71</v>
      </c>
      <c r="G761" s="11" t="s">
        <v>57</v>
      </c>
      <c r="H761" s="11" t="s">
        <v>55</v>
      </c>
      <c r="I761" s="11" t="s">
        <v>55</v>
      </c>
      <c r="J761" s="7" t="s">
        <v>55</v>
      </c>
      <c r="K761" s="7"/>
      <c r="L761" s="14" t="str">
        <f t="shared" si="1"/>
        <v>Não</v>
      </c>
      <c r="M761" s="11"/>
      <c r="N761" s="7"/>
      <c r="O761" s="7" t="s">
        <v>55</v>
      </c>
      <c r="P761" s="7"/>
      <c r="Q761" s="16" t="s">
        <v>57</v>
      </c>
      <c r="R761" s="16" t="s">
        <v>55</v>
      </c>
      <c r="S761" s="16" t="s">
        <v>55</v>
      </c>
      <c r="T761" s="16" t="s">
        <v>55</v>
      </c>
      <c r="U761" s="16" t="s">
        <v>57</v>
      </c>
      <c r="V761" s="16" t="s">
        <v>225</v>
      </c>
      <c r="W761" s="16"/>
      <c r="X761" s="49"/>
      <c r="Y761" s="49"/>
      <c r="Z761" s="49"/>
    </row>
    <row r="762" ht="15.0" customHeight="1">
      <c r="A762" s="7" t="s">
        <v>3381</v>
      </c>
      <c r="B762" s="7" t="s">
        <v>3382</v>
      </c>
      <c r="C762" s="7" t="s">
        <v>3383</v>
      </c>
      <c r="D762" s="7" t="s">
        <v>178</v>
      </c>
      <c r="E762" s="7" t="s">
        <v>286</v>
      </c>
      <c r="F762" s="7" t="s">
        <v>71</v>
      </c>
      <c r="G762" s="11" t="s">
        <v>57</v>
      </c>
      <c r="H762" s="11" t="s">
        <v>55</v>
      </c>
      <c r="I762" s="11" t="s">
        <v>55</v>
      </c>
      <c r="J762" s="7" t="s">
        <v>55</v>
      </c>
      <c r="K762" s="7"/>
      <c r="L762" s="14" t="str">
        <f t="shared" si="1"/>
        <v>Não</v>
      </c>
      <c r="M762" s="11"/>
      <c r="N762" s="7"/>
      <c r="O762" s="7" t="s">
        <v>55</v>
      </c>
      <c r="P762" s="7"/>
      <c r="Q762" s="16" t="s">
        <v>57</v>
      </c>
      <c r="R762" s="16" t="s">
        <v>55</v>
      </c>
      <c r="S762" s="16" t="s">
        <v>55</v>
      </c>
      <c r="T762" s="16" t="s">
        <v>55</v>
      </c>
      <c r="U762" s="16" t="s">
        <v>57</v>
      </c>
      <c r="V762" s="16" t="s">
        <v>225</v>
      </c>
      <c r="W762" s="16"/>
      <c r="X762" s="49"/>
      <c r="Y762" s="49"/>
      <c r="Z762" s="49"/>
    </row>
    <row r="763" ht="15.0" customHeight="1">
      <c r="A763" s="7" t="s">
        <v>3384</v>
      </c>
      <c r="B763" s="7" t="s">
        <v>3385</v>
      </c>
      <c r="C763" s="7" t="s">
        <v>3386</v>
      </c>
      <c r="D763" s="7" t="s">
        <v>111</v>
      </c>
      <c r="E763" s="7" t="s">
        <v>243</v>
      </c>
      <c r="F763" s="7" t="s">
        <v>71</v>
      </c>
      <c r="G763" s="11" t="s">
        <v>55</v>
      </c>
      <c r="H763" s="11" t="s">
        <v>55</v>
      </c>
      <c r="I763" s="11" t="s">
        <v>55</v>
      </c>
      <c r="J763" s="7" t="s">
        <v>55</v>
      </c>
      <c r="K763" s="11" t="s">
        <v>2978</v>
      </c>
      <c r="L763" s="14" t="str">
        <f t="shared" si="1"/>
        <v>Não</v>
      </c>
      <c r="M763" s="7"/>
      <c r="N763" s="7"/>
      <c r="O763" s="7" t="s">
        <v>55</v>
      </c>
      <c r="P763" s="7"/>
      <c r="Q763" s="16" t="s">
        <v>55</v>
      </c>
      <c r="R763" s="16" t="s">
        <v>55</v>
      </c>
      <c r="S763" s="16" t="s">
        <v>55</v>
      </c>
      <c r="T763" s="16" t="s">
        <v>55</v>
      </c>
      <c r="U763" s="16" t="s">
        <v>55</v>
      </c>
      <c r="V763" s="16" t="s">
        <v>127</v>
      </c>
      <c r="W763" s="16" t="s">
        <v>3387</v>
      </c>
      <c r="X763" s="49"/>
      <c r="Y763" s="49"/>
      <c r="Z763" s="49"/>
    </row>
    <row r="764" ht="15.0" customHeight="1">
      <c r="A764" s="7" t="s">
        <v>3388</v>
      </c>
      <c r="B764" s="7" t="s">
        <v>3389</v>
      </c>
      <c r="C764" s="7" t="s">
        <v>3390</v>
      </c>
      <c r="D764" s="7" t="s">
        <v>111</v>
      </c>
      <c r="E764" s="7" t="s">
        <v>194</v>
      </c>
      <c r="F764" s="7" t="s">
        <v>71</v>
      </c>
      <c r="G764" s="11" t="s">
        <v>55</v>
      </c>
      <c r="H764" s="11" t="s">
        <v>55</v>
      </c>
      <c r="I764" s="11" t="s">
        <v>55</v>
      </c>
      <c r="J764" s="7" t="s">
        <v>55</v>
      </c>
      <c r="K764" s="11" t="s">
        <v>3391</v>
      </c>
      <c r="L764" s="14" t="str">
        <f t="shared" si="1"/>
        <v>Não</v>
      </c>
      <c r="M764" s="7"/>
      <c r="N764" s="7"/>
      <c r="O764" s="7" t="s">
        <v>55</v>
      </c>
      <c r="P764" s="7"/>
      <c r="Q764" s="16" t="s">
        <v>55</v>
      </c>
      <c r="R764" s="16" t="s">
        <v>55</v>
      </c>
      <c r="S764" s="16" t="s">
        <v>55</v>
      </c>
      <c r="T764" s="16" t="s">
        <v>55</v>
      </c>
      <c r="U764" s="16" t="s">
        <v>55</v>
      </c>
      <c r="V764" s="16" t="s">
        <v>127</v>
      </c>
      <c r="W764" s="16" t="s">
        <v>3392</v>
      </c>
      <c r="X764" s="49"/>
      <c r="Y764" s="49"/>
      <c r="Z764" s="49"/>
    </row>
    <row r="765" ht="15.0" customHeight="1">
      <c r="A765" s="7" t="s">
        <v>3393</v>
      </c>
      <c r="B765" s="7" t="s">
        <v>3394</v>
      </c>
      <c r="C765" s="7" t="s">
        <v>3395</v>
      </c>
      <c r="D765" s="7" t="s">
        <v>111</v>
      </c>
      <c r="E765" s="7" t="s">
        <v>194</v>
      </c>
      <c r="F765" s="7" t="s">
        <v>71</v>
      </c>
      <c r="G765" s="11" t="s">
        <v>55</v>
      </c>
      <c r="H765" s="11" t="s">
        <v>55</v>
      </c>
      <c r="I765" s="11" t="s">
        <v>55</v>
      </c>
      <c r="J765" s="7" t="s">
        <v>55</v>
      </c>
      <c r="K765" s="11" t="s">
        <v>3396</v>
      </c>
      <c r="L765" s="14" t="str">
        <f t="shared" si="1"/>
        <v>Não</v>
      </c>
      <c r="M765" s="7"/>
      <c r="N765" s="7"/>
      <c r="O765" s="7" t="s">
        <v>55</v>
      </c>
      <c r="P765" s="7"/>
      <c r="Q765" s="16" t="s">
        <v>55</v>
      </c>
      <c r="R765" s="16" t="s">
        <v>55</v>
      </c>
      <c r="S765" s="16" t="s">
        <v>55</v>
      </c>
      <c r="T765" s="16" t="s">
        <v>55</v>
      </c>
      <c r="U765" s="16" t="s">
        <v>55</v>
      </c>
      <c r="V765" s="16" t="s">
        <v>127</v>
      </c>
      <c r="W765" s="16" t="s">
        <v>3397</v>
      </c>
      <c r="X765" s="49"/>
      <c r="Y765" s="49"/>
      <c r="Z765" s="49"/>
    </row>
    <row r="766" ht="15.0" customHeight="1">
      <c r="A766" s="7" t="s">
        <v>3398</v>
      </c>
      <c r="B766" s="7" t="s">
        <v>3399</v>
      </c>
      <c r="C766" s="7" t="s">
        <v>3400</v>
      </c>
      <c r="D766" s="7" t="s">
        <v>111</v>
      </c>
      <c r="E766" s="7" t="s">
        <v>194</v>
      </c>
      <c r="F766" s="7" t="s">
        <v>71</v>
      </c>
      <c r="G766" s="11" t="s">
        <v>55</v>
      </c>
      <c r="H766" s="11" t="s">
        <v>55</v>
      </c>
      <c r="I766" s="11" t="s">
        <v>55</v>
      </c>
      <c r="J766" s="7" t="s">
        <v>55</v>
      </c>
      <c r="K766" s="11" t="s">
        <v>3401</v>
      </c>
      <c r="L766" s="14" t="str">
        <f t="shared" si="1"/>
        <v>Não</v>
      </c>
      <c r="M766" s="7"/>
      <c r="N766" s="7"/>
      <c r="O766" s="7" t="s">
        <v>55</v>
      </c>
      <c r="P766" s="7"/>
      <c r="Q766" s="16" t="s">
        <v>55</v>
      </c>
      <c r="R766" s="16" t="s">
        <v>55</v>
      </c>
      <c r="S766" s="16" t="s">
        <v>55</v>
      </c>
      <c r="T766" s="16" t="s">
        <v>55</v>
      </c>
      <c r="U766" s="16" t="s">
        <v>55</v>
      </c>
      <c r="V766" s="16" t="s">
        <v>127</v>
      </c>
      <c r="W766" s="16" t="s">
        <v>3402</v>
      </c>
      <c r="X766" s="49"/>
      <c r="Y766" s="49"/>
      <c r="Z766" s="49"/>
    </row>
    <row r="767" ht="15.0" customHeight="1">
      <c r="A767" s="7" t="s">
        <v>3403</v>
      </c>
      <c r="B767" s="7" t="s">
        <v>3404</v>
      </c>
      <c r="C767" s="7" t="s">
        <v>3405</v>
      </c>
      <c r="D767" s="7" t="s">
        <v>111</v>
      </c>
      <c r="E767" s="7" t="s">
        <v>194</v>
      </c>
      <c r="F767" s="7" t="s">
        <v>71</v>
      </c>
      <c r="G767" s="11" t="s">
        <v>55</v>
      </c>
      <c r="H767" s="11" t="s">
        <v>55</v>
      </c>
      <c r="I767" s="11" t="s">
        <v>55</v>
      </c>
      <c r="J767" s="7" t="s">
        <v>55</v>
      </c>
      <c r="K767" s="11" t="s">
        <v>3406</v>
      </c>
      <c r="L767" s="14" t="str">
        <f t="shared" si="1"/>
        <v>Não</v>
      </c>
      <c r="M767" s="7"/>
      <c r="N767" s="7"/>
      <c r="O767" s="7" t="s">
        <v>55</v>
      </c>
      <c r="P767" s="7"/>
      <c r="Q767" s="16" t="s">
        <v>55</v>
      </c>
      <c r="R767" s="16" t="s">
        <v>55</v>
      </c>
      <c r="S767" s="16" t="s">
        <v>55</v>
      </c>
      <c r="T767" s="16" t="s">
        <v>55</v>
      </c>
      <c r="U767" s="16" t="s">
        <v>55</v>
      </c>
      <c r="V767" s="16" t="s">
        <v>127</v>
      </c>
      <c r="W767" s="16" t="s">
        <v>3407</v>
      </c>
      <c r="X767" s="49"/>
      <c r="Y767" s="49"/>
      <c r="Z767" s="49"/>
    </row>
    <row r="768" ht="15.0" customHeight="1">
      <c r="A768" s="7" t="s">
        <v>3408</v>
      </c>
      <c r="B768" s="7" t="s">
        <v>3409</v>
      </c>
      <c r="C768" s="7" t="s">
        <v>3410</v>
      </c>
      <c r="D768" s="7" t="s">
        <v>111</v>
      </c>
      <c r="E768" s="7" t="s">
        <v>328</v>
      </c>
      <c r="F768" s="7" t="s">
        <v>71</v>
      </c>
      <c r="G768" s="11" t="s">
        <v>55</v>
      </c>
      <c r="H768" s="11" t="s">
        <v>55</v>
      </c>
      <c r="I768" s="11" t="s">
        <v>55</v>
      </c>
      <c r="J768" s="7" t="s">
        <v>57</v>
      </c>
      <c r="K768" s="7"/>
      <c r="L768" s="14" t="str">
        <f t="shared" si="1"/>
        <v>Não</v>
      </c>
      <c r="M768" s="7"/>
      <c r="N768" s="7"/>
      <c r="O768" s="7" t="s">
        <v>55</v>
      </c>
      <c r="P768" s="7"/>
      <c r="Q768" s="16" t="s">
        <v>55</v>
      </c>
      <c r="R768" s="16" t="s">
        <v>55</v>
      </c>
      <c r="S768" s="16" t="s">
        <v>55</v>
      </c>
      <c r="T768" s="16" t="s">
        <v>57</v>
      </c>
      <c r="U768" s="16" t="s">
        <v>57</v>
      </c>
      <c r="V768" s="16" t="s">
        <v>1747</v>
      </c>
      <c r="W768" s="16"/>
      <c r="X768" s="49"/>
      <c r="Y768" s="49"/>
      <c r="Z768" s="49"/>
    </row>
    <row r="769" ht="15.0" customHeight="1">
      <c r="A769" s="7" t="s">
        <v>3411</v>
      </c>
      <c r="B769" s="7" t="s">
        <v>3412</v>
      </c>
      <c r="C769" s="7" t="s">
        <v>3413</v>
      </c>
      <c r="D769" s="7" t="s">
        <v>111</v>
      </c>
      <c r="E769" s="7" t="s">
        <v>328</v>
      </c>
      <c r="F769" s="7" t="s">
        <v>71</v>
      </c>
      <c r="G769" s="11" t="s">
        <v>55</v>
      </c>
      <c r="H769" s="11" t="s">
        <v>55</v>
      </c>
      <c r="I769" s="11" t="s">
        <v>55</v>
      </c>
      <c r="J769" s="7" t="s">
        <v>57</v>
      </c>
      <c r="K769" s="7"/>
      <c r="L769" s="14" t="str">
        <f t="shared" si="1"/>
        <v>Não</v>
      </c>
      <c r="M769" s="7"/>
      <c r="N769" s="7"/>
      <c r="O769" s="7" t="s">
        <v>55</v>
      </c>
      <c r="P769" s="7"/>
      <c r="Q769" s="16" t="s">
        <v>55</v>
      </c>
      <c r="R769" s="16" t="s">
        <v>55</v>
      </c>
      <c r="S769" s="16" t="s">
        <v>55</v>
      </c>
      <c r="T769" s="16" t="s">
        <v>57</v>
      </c>
      <c r="U769" s="16" t="s">
        <v>57</v>
      </c>
      <c r="V769" s="16" t="s">
        <v>1747</v>
      </c>
      <c r="W769" s="16"/>
      <c r="X769" s="49"/>
      <c r="Y769" s="49"/>
      <c r="Z769" s="49"/>
    </row>
    <row r="770" ht="15.0" customHeight="1">
      <c r="A770" s="7" t="s">
        <v>3414</v>
      </c>
      <c r="B770" s="7" t="s">
        <v>3415</v>
      </c>
      <c r="C770" s="7" t="s">
        <v>3416</v>
      </c>
      <c r="D770" s="7" t="s">
        <v>111</v>
      </c>
      <c r="E770" s="7" t="s">
        <v>328</v>
      </c>
      <c r="F770" s="7" t="s">
        <v>71</v>
      </c>
      <c r="G770" s="11" t="s">
        <v>55</v>
      </c>
      <c r="H770" s="11" t="s">
        <v>55</v>
      </c>
      <c r="I770" s="11" t="s">
        <v>55</v>
      </c>
      <c r="J770" s="7" t="s">
        <v>57</v>
      </c>
      <c r="K770" s="7"/>
      <c r="L770" s="14" t="str">
        <f t="shared" si="1"/>
        <v>Não</v>
      </c>
      <c r="M770" s="7"/>
      <c r="N770" s="7"/>
      <c r="O770" s="7" t="s">
        <v>55</v>
      </c>
      <c r="P770" s="7"/>
      <c r="Q770" s="16" t="s">
        <v>55</v>
      </c>
      <c r="R770" s="16" t="s">
        <v>55</v>
      </c>
      <c r="S770" s="16" t="s">
        <v>55</v>
      </c>
      <c r="T770" s="16" t="s">
        <v>57</v>
      </c>
      <c r="U770" s="16" t="s">
        <v>57</v>
      </c>
      <c r="V770" s="16" t="s">
        <v>1747</v>
      </c>
      <c r="W770" s="16"/>
      <c r="X770" s="49"/>
      <c r="Y770" s="49"/>
      <c r="Z770" s="49"/>
    </row>
    <row r="771" ht="15.0" customHeight="1">
      <c r="A771" s="7" t="s">
        <v>3417</v>
      </c>
      <c r="B771" s="7" t="s">
        <v>3418</v>
      </c>
      <c r="C771" s="7" t="s">
        <v>3419</v>
      </c>
      <c r="D771" s="7" t="s">
        <v>111</v>
      </c>
      <c r="E771" s="7" t="s">
        <v>48</v>
      </c>
      <c r="F771" s="7" t="s">
        <v>71</v>
      </c>
      <c r="G771" s="11" t="s">
        <v>55</v>
      </c>
      <c r="H771" s="11" t="s">
        <v>55</v>
      </c>
      <c r="I771" s="11" t="s">
        <v>55</v>
      </c>
      <c r="J771" s="7" t="s">
        <v>55</v>
      </c>
      <c r="K771" s="11" t="s">
        <v>3420</v>
      </c>
      <c r="L771" s="14" t="str">
        <f t="shared" si="1"/>
        <v>Não</v>
      </c>
      <c r="M771" s="7"/>
      <c r="N771" s="7"/>
      <c r="O771" s="7" t="s">
        <v>55</v>
      </c>
      <c r="P771" s="7"/>
      <c r="Q771" s="16" t="s">
        <v>55</v>
      </c>
      <c r="R771" s="16" t="s">
        <v>55</v>
      </c>
      <c r="S771" s="16" t="s">
        <v>55</v>
      </c>
      <c r="T771" s="16" t="s">
        <v>55</v>
      </c>
      <c r="U771" s="16" t="s">
        <v>55</v>
      </c>
      <c r="V771" s="16" t="s">
        <v>127</v>
      </c>
      <c r="W771" s="16" t="s">
        <v>3421</v>
      </c>
      <c r="X771" s="49"/>
      <c r="Y771" s="49"/>
      <c r="Z771" s="49"/>
    </row>
    <row r="772" ht="15.0" customHeight="1">
      <c r="A772" s="7" t="s">
        <v>3422</v>
      </c>
      <c r="B772" s="7" t="s">
        <v>3423</v>
      </c>
      <c r="C772" s="7" t="s">
        <v>3424</v>
      </c>
      <c r="D772" s="7" t="s">
        <v>111</v>
      </c>
      <c r="E772" s="7" t="s">
        <v>259</v>
      </c>
      <c r="F772" s="7" t="s">
        <v>71</v>
      </c>
      <c r="G772" s="11" t="s">
        <v>55</v>
      </c>
      <c r="H772" s="11" t="s">
        <v>55</v>
      </c>
      <c r="I772" s="11" t="s">
        <v>55</v>
      </c>
      <c r="J772" s="7" t="s">
        <v>55</v>
      </c>
      <c r="K772" s="7"/>
      <c r="L772" s="14" t="str">
        <f t="shared" si="1"/>
        <v>Sim</v>
      </c>
      <c r="M772" s="11"/>
      <c r="N772" s="7"/>
      <c r="O772" s="7" t="s">
        <v>55</v>
      </c>
      <c r="P772" s="7"/>
      <c r="Q772" s="16" t="s">
        <v>55</v>
      </c>
      <c r="R772" s="16" t="s">
        <v>55</v>
      </c>
      <c r="S772" s="16" t="s">
        <v>55</v>
      </c>
      <c r="T772" s="16" t="s">
        <v>55</v>
      </c>
      <c r="U772" s="16" t="s">
        <v>55</v>
      </c>
      <c r="V772" s="16" t="s">
        <v>127</v>
      </c>
      <c r="W772" s="16"/>
      <c r="X772" s="49"/>
      <c r="Y772" s="49"/>
      <c r="Z772" s="49"/>
    </row>
    <row r="773" ht="15.0" customHeight="1">
      <c r="A773" s="7" t="s">
        <v>3425</v>
      </c>
      <c r="B773" s="7" t="s">
        <v>3426</v>
      </c>
      <c r="C773" s="7" t="s">
        <v>3427</v>
      </c>
      <c r="D773" s="7" t="s">
        <v>111</v>
      </c>
      <c r="E773" s="7" t="s">
        <v>315</v>
      </c>
      <c r="F773" s="7" t="s">
        <v>71</v>
      </c>
      <c r="G773" s="11" t="s">
        <v>55</v>
      </c>
      <c r="H773" s="11" t="s">
        <v>55</v>
      </c>
      <c r="I773" s="11" t="s">
        <v>55</v>
      </c>
      <c r="J773" s="7" t="s">
        <v>55</v>
      </c>
      <c r="K773" s="7"/>
      <c r="L773" s="14" t="str">
        <f t="shared" si="1"/>
        <v>Sim</v>
      </c>
      <c r="M773" s="11"/>
      <c r="N773" s="7"/>
      <c r="O773" s="7" t="s">
        <v>55</v>
      </c>
      <c r="P773" s="7"/>
      <c r="Q773" s="16" t="s">
        <v>55</v>
      </c>
      <c r="R773" s="16" t="s">
        <v>55</v>
      </c>
      <c r="S773" s="16" t="s">
        <v>55</v>
      </c>
      <c r="T773" s="16" t="s">
        <v>55</v>
      </c>
      <c r="U773" s="16" t="s">
        <v>55</v>
      </c>
      <c r="V773" s="16" t="s">
        <v>127</v>
      </c>
      <c r="W773" s="16"/>
      <c r="X773" s="49"/>
      <c r="Y773" s="49"/>
      <c r="Z773" s="49"/>
    </row>
    <row r="774" ht="15.0" customHeight="1">
      <c r="A774" s="7" t="s">
        <v>3428</v>
      </c>
      <c r="B774" s="7" t="s">
        <v>3429</v>
      </c>
      <c r="C774" s="7" t="s">
        <v>3430</v>
      </c>
      <c r="D774" s="7" t="s">
        <v>111</v>
      </c>
      <c r="E774" s="7" t="s">
        <v>138</v>
      </c>
      <c r="F774" s="7" t="s">
        <v>71</v>
      </c>
      <c r="G774" s="11" t="s">
        <v>55</v>
      </c>
      <c r="H774" s="11" t="s">
        <v>55</v>
      </c>
      <c r="I774" s="11" t="s">
        <v>55</v>
      </c>
      <c r="J774" s="7" t="s">
        <v>55</v>
      </c>
      <c r="K774" s="11" t="s">
        <v>3431</v>
      </c>
      <c r="L774" s="14" t="str">
        <f t="shared" si="1"/>
        <v>Não</v>
      </c>
      <c r="M774" s="7"/>
      <c r="N774" s="7"/>
      <c r="O774" s="7" t="s">
        <v>55</v>
      </c>
      <c r="P774" s="7"/>
      <c r="Q774" s="16" t="s">
        <v>55</v>
      </c>
      <c r="R774" s="16" t="s">
        <v>55</v>
      </c>
      <c r="S774" s="16" t="s">
        <v>55</v>
      </c>
      <c r="T774" s="16" t="s">
        <v>55</v>
      </c>
      <c r="U774" s="16" t="s">
        <v>55</v>
      </c>
      <c r="V774" s="16" t="s">
        <v>127</v>
      </c>
      <c r="W774" s="16" t="s">
        <v>3432</v>
      </c>
      <c r="X774" s="49"/>
      <c r="Y774" s="49"/>
      <c r="Z774" s="49"/>
    </row>
    <row r="775" ht="15.0" customHeight="1">
      <c r="A775" s="7" t="s">
        <v>3433</v>
      </c>
      <c r="B775" s="7" t="s">
        <v>3434</v>
      </c>
      <c r="C775" s="7" t="s">
        <v>3435</v>
      </c>
      <c r="D775" s="7" t="s">
        <v>111</v>
      </c>
      <c r="E775" s="7" t="s">
        <v>259</v>
      </c>
      <c r="F775" s="7" t="s">
        <v>71</v>
      </c>
      <c r="G775" s="11" t="s">
        <v>55</v>
      </c>
      <c r="H775" s="11" t="s">
        <v>55</v>
      </c>
      <c r="I775" s="11" t="s">
        <v>55</v>
      </c>
      <c r="J775" s="7" t="s">
        <v>55</v>
      </c>
      <c r="K775" s="11" t="s">
        <v>3436</v>
      </c>
      <c r="L775" s="14" t="str">
        <f t="shared" si="1"/>
        <v>Não</v>
      </c>
      <c r="M775" s="7"/>
      <c r="N775" s="7"/>
      <c r="O775" s="7" t="s">
        <v>55</v>
      </c>
      <c r="P775" s="7"/>
      <c r="Q775" s="16" t="s">
        <v>55</v>
      </c>
      <c r="R775" s="16" t="s">
        <v>55</v>
      </c>
      <c r="S775" s="16" t="s">
        <v>55</v>
      </c>
      <c r="T775" s="16" t="s">
        <v>55</v>
      </c>
      <c r="U775" s="16" t="s">
        <v>55</v>
      </c>
      <c r="V775" s="16" t="s">
        <v>127</v>
      </c>
      <c r="W775" s="16" t="s">
        <v>3437</v>
      </c>
      <c r="X775" s="49"/>
      <c r="Y775" s="49"/>
      <c r="Z775" s="49"/>
    </row>
    <row r="776" ht="15.0" customHeight="1">
      <c r="A776" s="7" t="s">
        <v>3438</v>
      </c>
      <c r="B776" s="7" t="s">
        <v>3439</v>
      </c>
      <c r="C776" s="7" t="s">
        <v>3440</v>
      </c>
      <c r="D776" s="7" t="s">
        <v>111</v>
      </c>
      <c r="E776" s="7" t="s">
        <v>138</v>
      </c>
      <c r="F776" s="7" t="s">
        <v>71</v>
      </c>
      <c r="G776" s="11" t="s">
        <v>55</v>
      </c>
      <c r="H776" s="11" t="s">
        <v>55</v>
      </c>
      <c r="I776" s="11" t="s">
        <v>55</v>
      </c>
      <c r="J776" s="7" t="s">
        <v>55</v>
      </c>
      <c r="K776" s="11" t="s">
        <v>3441</v>
      </c>
      <c r="L776" s="14" t="str">
        <f t="shared" si="1"/>
        <v>Não</v>
      </c>
      <c r="M776" s="7"/>
      <c r="N776" s="7"/>
      <c r="O776" s="7" t="s">
        <v>55</v>
      </c>
      <c r="P776" s="7"/>
      <c r="Q776" s="16" t="s">
        <v>55</v>
      </c>
      <c r="R776" s="16" t="s">
        <v>55</v>
      </c>
      <c r="S776" s="16" t="s">
        <v>55</v>
      </c>
      <c r="T776" s="16" t="s">
        <v>55</v>
      </c>
      <c r="U776" s="16" t="s">
        <v>55</v>
      </c>
      <c r="V776" s="16" t="s">
        <v>127</v>
      </c>
      <c r="W776" s="16" t="s">
        <v>3442</v>
      </c>
      <c r="X776" s="49"/>
      <c r="Y776" s="49"/>
      <c r="Z776" s="49"/>
    </row>
    <row r="777" ht="15.0" customHeight="1">
      <c r="A777" s="7" t="s">
        <v>3443</v>
      </c>
      <c r="B777" s="7" t="s">
        <v>3444</v>
      </c>
      <c r="C777" s="7" t="s">
        <v>3445</v>
      </c>
      <c r="D777" s="7" t="s">
        <v>111</v>
      </c>
      <c r="E777" s="7" t="s">
        <v>259</v>
      </c>
      <c r="F777" s="7" t="s">
        <v>71</v>
      </c>
      <c r="G777" s="11" t="s">
        <v>55</v>
      </c>
      <c r="H777" s="11" t="s">
        <v>55</v>
      </c>
      <c r="I777" s="11" t="s">
        <v>55</v>
      </c>
      <c r="J777" s="7" t="s">
        <v>55</v>
      </c>
      <c r="K777" s="7"/>
      <c r="L777" s="14" t="str">
        <f t="shared" si="1"/>
        <v>Sim</v>
      </c>
      <c r="M777" s="11"/>
      <c r="N777" s="7"/>
      <c r="O777" s="7" t="s">
        <v>55</v>
      </c>
      <c r="P777" s="7"/>
      <c r="Q777" s="16" t="s">
        <v>55</v>
      </c>
      <c r="R777" s="16" t="s">
        <v>55</v>
      </c>
      <c r="S777" s="16" t="s">
        <v>55</v>
      </c>
      <c r="T777" s="16" t="s">
        <v>55</v>
      </c>
      <c r="U777" s="16" t="s">
        <v>55</v>
      </c>
      <c r="V777" s="16" t="s">
        <v>127</v>
      </c>
      <c r="W777" s="16"/>
      <c r="X777" s="49"/>
      <c r="Y777" s="49"/>
      <c r="Z777" s="49"/>
    </row>
    <row r="778" ht="15.0" customHeight="1">
      <c r="A778" s="7" t="s">
        <v>3446</v>
      </c>
      <c r="B778" s="7" t="s">
        <v>3447</v>
      </c>
      <c r="C778" s="7" t="s">
        <v>3448</v>
      </c>
      <c r="D778" s="7" t="s">
        <v>111</v>
      </c>
      <c r="E778" s="7" t="s">
        <v>315</v>
      </c>
      <c r="F778" s="7" t="s">
        <v>71</v>
      </c>
      <c r="G778" s="11" t="s">
        <v>55</v>
      </c>
      <c r="H778" s="11" t="s">
        <v>55</v>
      </c>
      <c r="I778" s="11" t="s">
        <v>55</v>
      </c>
      <c r="J778" s="7" t="s">
        <v>55</v>
      </c>
      <c r="K778" s="7"/>
      <c r="L778" s="14" t="str">
        <f t="shared" si="1"/>
        <v>Sim</v>
      </c>
      <c r="M778" s="11"/>
      <c r="N778" s="7"/>
      <c r="O778" s="7" t="s">
        <v>55</v>
      </c>
      <c r="P778" s="7"/>
      <c r="Q778" s="16" t="s">
        <v>55</v>
      </c>
      <c r="R778" s="16" t="s">
        <v>55</v>
      </c>
      <c r="S778" s="16" t="s">
        <v>55</v>
      </c>
      <c r="T778" s="16" t="s">
        <v>55</v>
      </c>
      <c r="U778" s="16" t="s">
        <v>55</v>
      </c>
      <c r="V778" s="16" t="s">
        <v>127</v>
      </c>
      <c r="W778" s="16"/>
      <c r="X778" s="49"/>
      <c r="Y778" s="49"/>
      <c r="Z778" s="49"/>
    </row>
    <row r="779" ht="15.0" customHeight="1">
      <c r="A779" s="7" t="s">
        <v>3449</v>
      </c>
      <c r="B779" s="7" t="s">
        <v>3450</v>
      </c>
      <c r="C779" s="7" t="s">
        <v>3451</v>
      </c>
      <c r="D779" s="7" t="s">
        <v>111</v>
      </c>
      <c r="E779" s="7" t="s">
        <v>148</v>
      </c>
      <c r="F779" s="7" t="s">
        <v>71</v>
      </c>
      <c r="G779" s="11" t="s">
        <v>55</v>
      </c>
      <c r="H779" s="11" t="s">
        <v>55</v>
      </c>
      <c r="I779" s="11" t="s">
        <v>55</v>
      </c>
      <c r="J779" s="7" t="s">
        <v>55</v>
      </c>
      <c r="K779" s="11" t="s">
        <v>3452</v>
      </c>
      <c r="L779" s="14" t="str">
        <f t="shared" si="1"/>
        <v>Não</v>
      </c>
      <c r="M779" s="7"/>
      <c r="N779" s="7"/>
      <c r="O779" s="7" t="s">
        <v>55</v>
      </c>
      <c r="P779" s="7"/>
      <c r="Q779" s="16" t="s">
        <v>55</v>
      </c>
      <c r="R779" s="16" t="s">
        <v>55</v>
      </c>
      <c r="S779" s="16" t="s">
        <v>55</v>
      </c>
      <c r="T779" s="16" t="s">
        <v>55</v>
      </c>
      <c r="U779" s="16" t="s">
        <v>55</v>
      </c>
      <c r="V779" s="16" t="s">
        <v>127</v>
      </c>
      <c r="W779" s="16" t="s">
        <v>3453</v>
      </c>
      <c r="X779" s="49"/>
      <c r="Y779" s="49"/>
      <c r="Z779" s="49"/>
    </row>
    <row r="780" ht="15.0" customHeight="1">
      <c r="A780" s="7" t="s">
        <v>3454</v>
      </c>
      <c r="B780" s="7" t="s">
        <v>3455</v>
      </c>
      <c r="C780" s="7" t="s">
        <v>3456</v>
      </c>
      <c r="D780" s="7" t="s">
        <v>111</v>
      </c>
      <c r="E780" s="7" t="s">
        <v>220</v>
      </c>
      <c r="F780" s="7" t="s">
        <v>71</v>
      </c>
      <c r="G780" s="11" t="s">
        <v>55</v>
      </c>
      <c r="H780" s="11" t="s">
        <v>55</v>
      </c>
      <c r="I780" s="11" t="s">
        <v>55</v>
      </c>
      <c r="J780" s="7" t="s">
        <v>55</v>
      </c>
      <c r="K780" s="11" t="s">
        <v>3452</v>
      </c>
      <c r="L780" s="14" t="str">
        <f t="shared" si="1"/>
        <v>Não</v>
      </c>
      <c r="M780" s="7"/>
      <c r="N780" s="7"/>
      <c r="O780" s="7" t="s">
        <v>55</v>
      </c>
      <c r="P780" s="7"/>
      <c r="Q780" s="16" t="s">
        <v>55</v>
      </c>
      <c r="R780" s="16" t="s">
        <v>55</v>
      </c>
      <c r="S780" s="16" t="s">
        <v>55</v>
      </c>
      <c r="T780" s="16" t="s">
        <v>55</v>
      </c>
      <c r="U780" s="16" t="s">
        <v>55</v>
      </c>
      <c r="V780" s="16" t="s">
        <v>127</v>
      </c>
      <c r="W780" s="16" t="s">
        <v>3457</v>
      </c>
      <c r="X780" s="49"/>
      <c r="Y780" s="49"/>
      <c r="Z780" s="49"/>
    </row>
    <row r="781" ht="30.0" customHeight="1">
      <c r="A781" s="7" t="s">
        <v>3458</v>
      </c>
      <c r="B781" s="7" t="s">
        <v>3459</v>
      </c>
      <c r="C781" s="7" t="s">
        <v>3460</v>
      </c>
      <c r="D781" s="7" t="s">
        <v>111</v>
      </c>
      <c r="E781" s="7" t="s">
        <v>220</v>
      </c>
      <c r="F781" s="7" t="s">
        <v>71</v>
      </c>
      <c r="G781" s="11" t="s">
        <v>55</v>
      </c>
      <c r="H781" s="11" t="s">
        <v>55</v>
      </c>
      <c r="I781" s="11" t="s">
        <v>55</v>
      </c>
      <c r="J781" s="7" t="s">
        <v>55</v>
      </c>
      <c r="K781" s="11" t="s">
        <v>3461</v>
      </c>
      <c r="L781" s="14" t="str">
        <f t="shared" si="1"/>
        <v>Não</v>
      </c>
      <c r="M781" s="7"/>
      <c r="N781" s="7"/>
      <c r="O781" s="7" t="s">
        <v>55</v>
      </c>
      <c r="P781" s="7"/>
      <c r="Q781" s="16" t="s">
        <v>55</v>
      </c>
      <c r="R781" s="16" t="s">
        <v>55</v>
      </c>
      <c r="S781" s="16" t="s">
        <v>55</v>
      </c>
      <c r="T781" s="16" t="s">
        <v>55</v>
      </c>
      <c r="U781" s="16" t="s">
        <v>55</v>
      </c>
      <c r="V781" s="16" t="s">
        <v>127</v>
      </c>
      <c r="W781" s="16" t="s">
        <v>3462</v>
      </c>
      <c r="X781" s="49"/>
      <c r="Y781" s="49"/>
      <c r="Z781" s="49"/>
    </row>
    <row r="782" ht="15.0" customHeight="1">
      <c r="A782" s="7" t="s">
        <v>3463</v>
      </c>
      <c r="B782" s="7" t="s">
        <v>3464</v>
      </c>
      <c r="C782" s="7" t="s">
        <v>3465</v>
      </c>
      <c r="D782" s="7" t="s">
        <v>111</v>
      </c>
      <c r="E782" s="7" t="s">
        <v>259</v>
      </c>
      <c r="F782" s="7" t="s">
        <v>71</v>
      </c>
      <c r="G782" s="11" t="s">
        <v>55</v>
      </c>
      <c r="H782" s="11" t="s">
        <v>55</v>
      </c>
      <c r="I782" s="11" t="s">
        <v>55</v>
      </c>
      <c r="J782" s="7" t="s">
        <v>55</v>
      </c>
      <c r="K782" s="11" t="s">
        <v>3466</v>
      </c>
      <c r="L782" s="14" t="str">
        <f t="shared" si="1"/>
        <v>Não</v>
      </c>
      <c r="M782" s="7"/>
      <c r="N782" s="7"/>
      <c r="O782" s="7" t="s">
        <v>55</v>
      </c>
      <c r="P782" s="7"/>
      <c r="Q782" s="16" t="s">
        <v>55</v>
      </c>
      <c r="R782" s="16" t="s">
        <v>55</v>
      </c>
      <c r="S782" s="16" t="s">
        <v>55</v>
      </c>
      <c r="T782" s="16" t="s">
        <v>55</v>
      </c>
      <c r="U782" s="16" t="s">
        <v>55</v>
      </c>
      <c r="V782" s="16" t="s">
        <v>127</v>
      </c>
      <c r="W782" s="16" t="s">
        <v>3467</v>
      </c>
      <c r="X782" s="49"/>
      <c r="Y782" s="49"/>
      <c r="Z782" s="49"/>
    </row>
    <row r="783" ht="15.0" customHeight="1">
      <c r="A783" s="7" t="s">
        <v>3468</v>
      </c>
      <c r="B783" s="7" t="s">
        <v>3469</v>
      </c>
      <c r="C783" s="7" t="s">
        <v>3470</v>
      </c>
      <c r="D783" s="7" t="s">
        <v>111</v>
      </c>
      <c r="E783" s="7" t="s">
        <v>148</v>
      </c>
      <c r="F783" s="7" t="s">
        <v>71</v>
      </c>
      <c r="G783" s="11" t="s">
        <v>57</v>
      </c>
      <c r="H783" s="11" t="s">
        <v>55</v>
      </c>
      <c r="I783" s="11" t="s">
        <v>55</v>
      </c>
      <c r="J783" s="7" t="s">
        <v>55</v>
      </c>
      <c r="K783" s="7"/>
      <c r="L783" s="14" t="str">
        <f t="shared" si="1"/>
        <v>Não</v>
      </c>
      <c r="M783" s="11"/>
      <c r="N783" s="7"/>
      <c r="O783" s="7" t="s">
        <v>55</v>
      </c>
      <c r="P783" s="7"/>
      <c r="Q783" s="16" t="s">
        <v>57</v>
      </c>
      <c r="R783" s="16" t="s">
        <v>55</v>
      </c>
      <c r="S783" s="16" t="s">
        <v>55</v>
      </c>
      <c r="T783" s="16" t="s">
        <v>55</v>
      </c>
      <c r="U783" s="16" t="s">
        <v>57</v>
      </c>
      <c r="V783" s="16" t="s">
        <v>225</v>
      </c>
      <c r="W783" s="16"/>
      <c r="X783" s="49"/>
      <c r="Y783" s="49"/>
      <c r="Z783" s="49"/>
    </row>
    <row r="784" ht="15.0" customHeight="1">
      <c r="A784" s="7" t="s">
        <v>3471</v>
      </c>
      <c r="B784" s="7" t="s">
        <v>3472</v>
      </c>
      <c r="C784" s="7" t="s">
        <v>3473</v>
      </c>
      <c r="D784" s="7" t="s">
        <v>111</v>
      </c>
      <c r="E784" s="7" t="s">
        <v>138</v>
      </c>
      <c r="F784" s="7" t="s">
        <v>71</v>
      </c>
      <c r="G784" s="11" t="s">
        <v>55</v>
      </c>
      <c r="H784" s="11" t="s">
        <v>55</v>
      </c>
      <c r="I784" s="11" t="s">
        <v>55</v>
      </c>
      <c r="J784" s="7" t="s">
        <v>55</v>
      </c>
      <c r="K784" s="11" t="s">
        <v>3474</v>
      </c>
      <c r="L784" s="14" t="str">
        <f t="shared" si="1"/>
        <v>Não</v>
      </c>
      <c r="M784" s="7"/>
      <c r="N784" s="7"/>
      <c r="O784" s="7" t="s">
        <v>55</v>
      </c>
      <c r="P784" s="7"/>
      <c r="Q784" s="16" t="s">
        <v>55</v>
      </c>
      <c r="R784" s="16" t="s">
        <v>55</v>
      </c>
      <c r="S784" s="16" t="s">
        <v>55</v>
      </c>
      <c r="T784" s="16" t="s">
        <v>55</v>
      </c>
      <c r="U784" s="16" t="s">
        <v>55</v>
      </c>
      <c r="V784" s="16" t="s">
        <v>127</v>
      </c>
      <c r="W784" s="16" t="s">
        <v>3475</v>
      </c>
      <c r="X784" s="49"/>
      <c r="Y784" s="49"/>
      <c r="Z784" s="49"/>
    </row>
    <row r="785" ht="15.0" customHeight="1">
      <c r="A785" s="7" t="s">
        <v>3476</v>
      </c>
      <c r="B785" s="7" t="s">
        <v>3477</v>
      </c>
      <c r="C785" s="7" t="s">
        <v>3478</v>
      </c>
      <c r="D785" s="7" t="s">
        <v>111</v>
      </c>
      <c r="E785" s="7" t="s">
        <v>259</v>
      </c>
      <c r="F785" s="7" t="s">
        <v>71</v>
      </c>
      <c r="G785" s="11" t="s">
        <v>55</v>
      </c>
      <c r="H785" s="11" t="s">
        <v>55</v>
      </c>
      <c r="I785" s="11" t="s">
        <v>55</v>
      </c>
      <c r="J785" s="7" t="s">
        <v>55</v>
      </c>
      <c r="K785" s="7"/>
      <c r="L785" s="14" t="str">
        <f t="shared" si="1"/>
        <v>Sim</v>
      </c>
      <c r="M785" s="11"/>
      <c r="N785" s="7"/>
      <c r="O785" s="7" t="s">
        <v>55</v>
      </c>
      <c r="P785" s="7"/>
      <c r="Q785" s="16" t="s">
        <v>55</v>
      </c>
      <c r="R785" s="16" t="s">
        <v>55</v>
      </c>
      <c r="S785" s="16" t="s">
        <v>55</v>
      </c>
      <c r="T785" s="16" t="s">
        <v>55</v>
      </c>
      <c r="U785" s="16" t="s">
        <v>55</v>
      </c>
      <c r="V785" s="16" t="s">
        <v>127</v>
      </c>
      <c r="W785" s="16"/>
      <c r="X785" s="49"/>
      <c r="Y785" s="49"/>
      <c r="Z785" s="49"/>
    </row>
    <row r="786" ht="15.0" customHeight="1">
      <c r="A786" s="7" t="s">
        <v>3479</v>
      </c>
      <c r="B786" s="7" t="s">
        <v>3480</v>
      </c>
      <c r="C786" s="7" t="s">
        <v>3481</v>
      </c>
      <c r="D786" s="7" t="s">
        <v>111</v>
      </c>
      <c r="E786" s="7" t="s">
        <v>243</v>
      </c>
      <c r="F786" s="7" t="s">
        <v>71</v>
      </c>
      <c r="G786" s="11" t="s">
        <v>55</v>
      </c>
      <c r="H786" s="11" t="s">
        <v>55</v>
      </c>
      <c r="I786" s="11" t="s">
        <v>55</v>
      </c>
      <c r="J786" s="7" t="s">
        <v>55</v>
      </c>
      <c r="K786" s="7"/>
      <c r="L786" s="14" t="str">
        <f t="shared" si="1"/>
        <v>Sim</v>
      </c>
      <c r="M786" s="11"/>
      <c r="N786" s="7"/>
      <c r="O786" s="7" t="s">
        <v>55</v>
      </c>
      <c r="P786" s="7"/>
      <c r="Q786" s="16" t="s">
        <v>55</v>
      </c>
      <c r="R786" s="16" t="s">
        <v>55</v>
      </c>
      <c r="S786" s="16" t="s">
        <v>55</v>
      </c>
      <c r="T786" s="16" t="s">
        <v>55</v>
      </c>
      <c r="U786" s="16" t="s">
        <v>55</v>
      </c>
      <c r="V786" s="16" t="s">
        <v>127</v>
      </c>
      <c r="W786" s="16"/>
      <c r="X786" s="49"/>
      <c r="Y786" s="49"/>
      <c r="Z786" s="49"/>
    </row>
    <row r="787" ht="15.0" customHeight="1">
      <c r="A787" s="7" t="s">
        <v>3482</v>
      </c>
      <c r="B787" s="7" t="s">
        <v>3483</v>
      </c>
      <c r="C787" s="7" t="s">
        <v>3484</v>
      </c>
      <c r="D787" s="7" t="s">
        <v>111</v>
      </c>
      <c r="E787" s="7" t="s">
        <v>315</v>
      </c>
      <c r="F787" s="7" t="s">
        <v>71</v>
      </c>
      <c r="G787" s="11" t="s">
        <v>55</v>
      </c>
      <c r="H787" s="11" t="s">
        <v>55</v>
      </c>
      <c r="I787" s="11" t="s">
        <v>55</v>
      </c>
      <c r="J787" s="7" t="s">
        <v>55</v>
      </c>
      <c r="K787" s="7"/>
      <c r="L787" s="14" t="str">
        <f t="shared" si="1"/>
        <v>Sim</v>
      </c>
      <c r="M787" s="11"/>
      <c r="N787" s="7"/>
      <c r="O787" s="7" t="s">
        <v>55</v>
      </c>
      <c r="P787" s="7"/>
      <c r="Q787" s="16" t="s">
        <v>55</v>
      </c>
      <c r="R787" s="16" t="s">
        <v>55</v>
      </c>
      <c r="S787" s="16" t="s">
        <v>55</v>
      </c>
      <c r="T787" s="16" t="s">
        <v>55</v>
      </c>
      <c r="U787" s="16" t="s">
        <v>55</v>
      </c>
      <c r="V787" s="16" t="s">
        <v>127</v>
      </c>
      <c r="W787" s="16"/>
      <c r="X787" s="49"/>
      <c r="Y787" s="49"/>
      <c r="Z787" s="49"/>
    </row>
    <row r="788" ht="15.0" customHeight="1">
      <c r="A788" s="7" t="s">
        <v>3485</v>
      </c>
      <c r="B788" s="7" t="s">
        <v>3486</v>
      </c>
      <c r="C788" s="7" t="s">
        <v>3487</v>
      </c>
      <c r="D788" s="7" t="s">
        <v>111</v>
      </c>
      <c r="E788" s="7" t="s">
        <v>107</v>
      </c>
      <c r="F788" s="7" t="s">
        <v>71</v>
      </c>
      <c r="G788" s="11" t="s">
        <v>55</v>
      </c>
      <c r="H788" s="11" t="s">
        <v>55</v>
      </c>
      <c r="I788" s="11" t="s">
        <v>55</v>
      </c>
      <c r="J788" s="7" t="s">
        <v>55</v>
      </c>
      <c r="K788" s="11" t="s">
        <v>3488</v>
      </c>
      <c r="L788" s="14" t="str">
        <f t="shared" si="1"/>
        <v>Não</v>
      </c>
      <c r="M788" s="7"/>
      <c r="N788" s="7"/>
      <c r="O788" s="7" t="s">
        <v>55</v>
      </c>
      <c r="P788" s="7"/>
      <c r="Q788" s="16" t="s">
        <v>55</v>
      </c>
      <c r="R788" s="16" t="s">
        <v>55</v>
      </c>
      <c r="S788" s="16" t="s">
        <v>55</v>
      </c>
      <c r="T788" s="16" t="s">
        <v>55</v>
      </c>
      <c r="U788" s="16" t="s">
        <v>55</v>
      </c>
      <c r="V788" s="16" t="s">
        <v>127</v>
      </c>
      <c r="W788" s="16" t="s">
        <v>3489</v>
      </c>
      <c r="X788" s="49"/>
      <c r="Y788" s="49"/>
      <c r="Z788" s="49"/>
    </row>
    <row r="789" ht="15.0" customHeight="1">
      <c r="A789" s="7" t="s">
        <v>3490</v>
      </c>
      <c r="B789" s="7" t="s">
        <v>3491</v>
      </c>
      <c r="C789" s="7" t="s">
        <v>3492</v>
      </c>
      <c r="D789" s="7" t="s">
        <v>111</v>
      </c>
      <c r="E789" s="7" t="s">
        <v>107</v>
      </c>
      <c r="F789" s="7" t="s">
        <v>71</v>
      </c>
      <c r="G789" s="11" t="s">
        <v>55</v>
      </c>
      <c r="H789" s="11" t="s">
        <v>55</v>
      </c>
      <c r="I789" s="11" t="s">
        <v>55</v>
      </c>
      <c r="J789" s="7" t="s">
        <v>55</v>
      </c>
      <c r="K789" s="11" t="s">
        <v>3391</v>
      </c>
      <c r="L789" s="14" t="str">
        <f t="shared" si="1"/>
        <v>Não</v>
      </c>
      <c r="M789" s="7"/>
      <c r="N789" s="7"/>
      <c r="O789" s="7" t="s">
        <v>55</v>
      </c>
      <c r="P789" s="7"/>
      <c r="Q789" s="16" t="s">
        <v>55</v>
      </c>
      <c r="R789" s="16" t="s">
        <v>55</v>
      </c>
      <c r="S789" s="16" t="s">
        <v>55</v>
      </c>
      <c r="T789" s="16" t="s">
        <v>55</v>
      </c>
      <c r="U789" s="16" t="s">
        <v>55</v>
      </c>
      <c r="V789" s="16" t="s">
        <v>127</v>
      </c>
      <c r="W789" s="16" t="s">
        <v>3493</v>
      </c>
      <c r="X789" s="49"/>
      <c r="Y789" s="49"/>
      <c r="Z789" s="49"/>
    </row>
    <row r="790" ht="15.0" customHeight="1">
      <c r="A790" s="7" t="s">
        <v>741</v>
      </c>
      <c r="B790" s="7" t="s">
        <v>744</v>
      </c>
      <c r="C790" s="7" t="s">
        <v>3494</v>
      </c>
      <c r="D790" s="7" t="s">
        <v>111</v>
      </c>
      <c r="E790" s="7" t="s">
        <v>315</v>
      </c>
      <c r="F790" s="7" t="s">
        <v>71</v>
      </c>
      <c r="G790" s="11" t="s">
        <v>55</v>
      </c>
      <c r="H790" s="11" t="s">
        <v>55</v>
      </c>
      <c r="I790" s="11" t="s">
        <v>55</v>
      </c>
      <c r="J790" s="7" t="s">
        <v>55</v>
      </c>
      <c r="K790" s="7"/>
      <c r="L790" s="14" t="str">
        <f t="shared" si="1"/>
        <v>Sim</v>
      </c>
      <c r="M790" s="11" t="s">
        <v>87</v>
      </c>
      <c r="N790" s="7"/>
      <c r="O790" s="7" t="s">
        <v>55</v>
      </c>
      <c r="P790" s="7"/>
      <c r="Q790" s="16" t="s">
        <v>55</v>
      </c>
      <c r="R790" s="16" t="s">
        <v>55</v>
      </c>
      <c r="S790" s="16" t="s">
        <v>55</v>
      </c>
      <c r="T790" s="16" t="s">
        <v>55</v>
      </c>
      <c r="U790" s="16" t="s">
        <v>55</v>
      </c>
      <c r="V790" s="16" t="s">
        <v>127</v>
      </c>
      <c r="W790" s="16"/>
      <c r="X790" s="49"/>
      <c r="Y790" s="49"/>
      <c r="Z790" s="49"/>
    </row>
    <row r="791" ht="15.0" customHeight="1">
      <c r="A791" s="7" t="s">
        <v>3495</v>
      </c>
      <c r="B791" s="7" t="s">
        <v>3496</v>
      </c>
      <c r="C791" s="7" t="s">
        <v>3497</v>
      </c>
      <c r="D791" s="7" t="s">
        <v>111</v>
      </c>
      <c r="E791" s="7" t="s">
        <v>328</v>
      </c>
      <c r="F791" s="7" t="s">
        <v>71</v>
      </c>
      <c r="G791" s="11" t="s">
        <v>55</v>
      </c>
      <c r="H791" s="11" t="s">
        <v>55</v>
      </c>
      <c r="I791" s="11" t="s">
        <v>55</v>
      </c>
      <c r="J791" s="7" t="s">
        <v>57</v>
      </c>
      <c r="K791" s="7"/>
      <c r="L791" s="14" t="str">
        <f t="shared" si="1"/>
        <v>Não</v>
      </c>
      <c r="M791" s="7"/>
      <c r="N791" s="7"/>
      <c r="O791" s="7" t="s">
        <v>55</v>
      </c>
      <c r="P791" s="7"/>
      <c r="Q791" s="16" t="s">
        <v>55</v>
      </c>
      <c r="R791" s="16" t="s">
        <v>55</v>
      </c>
      <c r="S791" s="16" t="s">
        <v>55</v>
      </c>
      <c r="T791" s="16" t="s">
        <v>57</v>
      </c>
      <c r="U791" s="16" t="s">
        <v>57</v>
      </c>
      <c r="V791" s="16" t="s">
        <v>1747</v>
      </c>
      <c r="W791" s="16"/>
      <c r="X791" s="49"/>
      <c r="Y791" s="49"/>
      <c r="Z791" s="49"/>
    </row>
    <row r="792" ht="15.0" customHeight="1">
      <c r="A792" s="7" t="s">
        <v>3498</v>
      </c>
      <c r="B792" s="7" t="s">
        <v>3499</v>
      </c>
      <c r="C792" s="7" t="s">
        <v>3500</v>
      </c>
      <c r="D792" s="7" t="s">
        <v>111</v>
      </c>
      <c r="E792" s="7" t="s">
        <v>148</v>
      </c>
      <c r="F792" s="7" t="s">
        <v>71</v>
      </c>
      <c r="G792" s="11" t="s">
        <v>55</v>
      </c>
      <c r="H792" s="11" t="s">
        <v>55</v>
      </c>
      <c r="I792" s="11" t="s">
        <v>55</v>
      </c>
      <c r="J792" s="7" t="s">
        <v>55</v>
      </c>
      <c r="K792" s="7"/>
      <c r="L792" s="14" t="str">
        <f t="shared" si="1"/>
        <v>Sim</v>
      </c>
      <c r="M792" s="11"/>
      <c r="N792" s="7"/>
      <c r="O792" s="7" t="s">
        <v>55</v>
      </c>
      <c r="P792" s="7"/>
      <c r="Q792" s="16" t="s">
        <v>55</v>
      </c>
      <c r="R792" s="16" t="s">
        <v>55</v>
      </c>
      <c r="S792" s="16" t="s">
        <v>55</v>
      </c>
      <c r="T792" s="16" t="s">
        <v>55</v>
      </c>
      <c r="U792" s="16" t="s">
        <v>55</v>
      </c>
      <c r="V792" s="16" t="s">
        <v>127</v>
      </c>
      <c r="W792" s="16"/>
      <c r="X792" s="49"/>
      <c r="Y792" s="49"/>
      <c r="Z792" s="49"/>
    </row>
    <row r="793" ht="15.0" customHeight="1">
      <c r="A793" s="7" t="s">
        <v>3501</v>
      </c>
      <c r="B793" s="7" t="s">
        <v>3502</v>
      </c>
      <c r="C793" s="7" t="s">
        <v>3503</v>
      </c>
      <c r="D793" s="7" t="s">
        <v>111</v>
      </c>
      <c r="E793" s="7" t="s">
        <v>180</v>
      </c>
      <c r="F793" s="7" t="s">
        <v>71</v>
      </c>
      <c r="G793" s="11" t="s">
        <v>55</v>
      </c>
      <c r="H793" s="11" t="s">
        <v>55</v>
      </c>
      <c r="I793" s="11" t="s">
        <v>55</v>
      </c>
      <c r="J793" s="7" t="s">
        <v>55</v>
      </c>
      <c r="K793" s="11" t="s">
        <v>2170</v>
      </c>
      <c r="L793" s="14" t="str">
        <f t="shared" si="1"/>
        <v>Não</v>
      </c>
      <c r="M793" s="7"/>
      <c r="N793" s="7"/>
      <c r="O793" s="7" t="s">
        <v>55</v>
      </c>
      <c r="P793" s="7"/>
      <c r="Q793" s="16" t="s">
        <v>55</v>
      </c>
      <c r="R793" s="16" t="s">
        <v>55</v>
      </c>
      <c r="S793" s="16" t="s">
        <v>55</v>
      </c>
      <c r="T793" s="16" t="s">
        <v>55</v>
      </c>
      <c r="U793" s="16" t="s">
        <v>55</v>
      </c>
      <c r="V793" s="16" t="s">
        <v>127</v>
      </c>
      <c r="W793" s="16" t="s">
        <v>3504</v>
      </c>
      <c r="X793" s="49"/>
      <c r="Y793" s="49"/>
      <c r="Z793" s="49"/>
    </row>
    <row r="794" ht="29.25" customHeight="1">
      <c r="A794" s="7" t="s">
        <v>3505</v>
      </c>
      <c r="B794" s="7" t="s">
        <v>3506</v>
      </c>
      <c r="C794" s="7" t="s">
        <v>3507</v>
      </c>
      <c r="D794" s="7" t="s">
        <v>111</v>
      </c>
      <c r="E794" s="7" t="s">
        <v>165</v>
      </c>
      <c r="F794" s="7" t="s">
        <v>71</v>
      </c>
      <c r="G794" s="11" t="s">
        <v>55</v>
      </c>
      <c r="H794" s="11" t="s">
        <v>55</v>
      </c>
      <c r="I794" s="11" t="s">
        <v>55</v>
      </c>
      <c r="J794" s="7" t="s">
        <v>55</v>
      </c>
      <c r="K794" s="11" t="s">
        <v>3508</v>
      </c>
      <c r="L794" s="14" t="str">
        <f t="shared" si="1"/>
        <v>Não</v>
      </c>
      <c r="M794" s="7"/>
      <c r="N794" s="7"/>
      <c r="O794" s="7" t="s">
        <v>55</v>
      </c>
      <c r="P794" s="7"/>
      <c r="Q794" s="16" t="s">
        <v>55</v>
      </c>
      <c r="R794" s="16" t="s">
        <v>55</v>
      </c>
      <c r="S794" s="16" t="s">
        <v>55</v>
      </c>
      <c r="T794" s="16" t="s">
        <v>55</v>
      </c>
      <c r="U794" s="16" t="s">
        <v>55</v>
      </c>
      <c r="V794" s="16" t="s">
        <v>127</v>
      </c>
      <c r="W794" s="16" t="s">
        <v>3509</v>
      </c>
      <c r="X794" s="49"/>
      <c r="Y794" s="49"/>
      <c r="Z794" s="49"/>
    </row>
    <row r="795" ht="15.0" customHeight="1">
      <c r="A795" s="7" t="s">
        <v>793</v>
      </c>
      <c r="B795" s="7" t="s">
        <v>794</v>
      </c>
      <c r="C795" s="7" t="s">
        <v>3510</v>
      </c>
      <c r="D795" s="7" t="s">
        <v>111</v>
      </c>
      <c r="E795" s="7" t="s">
        <v>306</v>
      </c>
      <c r="F795" s="7" t="s">
        <v>71</v>
      </c>
      <c r="G795" s="11" t="s">
        <v>55</v>
      </c>
      <c r="H795" s="11" t="s">
        <v>55</v>
      </c>
      <c r="I795" s="11" t="s">
        <v>55</v>
      </c>
      <c r="J795" s="7" t="s">
        <v>55</v>
      </c>
      <c r="K795" s="7"/>
      <c r="L795" s="14" t="str">
        <f t="shared" si="1"/>
        <v>Sim</v>
      </c>
      <c r="M795" s="11" t="s">
        <v>87</v>
      </c>
      <c r="N795" s="7"/>
      <c r="O795" s="7" t="s">
        <v>55</v>
      </c>
      <c r="P795" s="7"/>
      <c r="Q795" s="16" t="s">
        <v>55</v>
      </c>
      <c r="R795" s="16" t="s">
        <v>55</v>
      </c>
      <c r="S795" s="16" t="s">
        <v>55</v>
      </c>
      <c r="T795" s="16" t="s">
        <v>55</v>
      </c>
      <c r="U795" s="16" t="s">
        <v>55</v>
      </c>
      <c r="V795" s="16" t="s">
        <v>127</v>
      </c>
      <c r="W795" s="16"/>
      <c r="X795" s="49"/>
      <c r="Y795" s="49"/>
      <c r="Z795" s="49"/>
    </row>
    <row r="796" ht="15.0" customHeight="1">
      <c r="A796" s="7" t="s">
        <v>3511</v>
      </c>
      <c r="B796" s="7" t="s">
        <v>3512</v>
      </c>
      <c r="C796" s="7" t="s">
        <v>3513</v>
      </c>
      <c r="D796" s="7" t="s">
        <v>111</v>
      </c>
      <c r="E796" s="7" t="s">
        <v>85</v>
      </c>
      <c r="F796" s="7" t="s">
        <v>71</v>
      </c>
      <c r="G796" s="11" t="s">
        <v>55</v>
      </c>
      <c r="H796" s="11" t="s">
        <v>55</v>
      </c>
      <c r="I796" s="11" t="s">
        <v>55</v>
      </c>
      <c r="J796" s="7" t="s">
        <v>55</v>
      </c>
      <c r="K796" s="11" t="s">
        <v>3514</v>
      </c>
      <c r="L796" s="14" t="str">
        <f t="shared" si="1"/>
        <v>Não</v>
      </c>
      <c r="M796" s="7"/>
      <c r="N796" s="7"/>
      <c r="O796" s="7" t="s">
        <v>55</v>
      </c>
      <c r="P796" s="7"/>
      <c r="Q796" s="16" t="s">
        <v>55</v>
      </c>
      <c r="R796" s="16" t="s">
        <v>55</v>
      </c>
      <c r="S796" s="16" t="s">
        <v>55</v>
      </c>
      <c r="T796" s="16" t="s">
        <v>55</v>
      </c>
      <c r="U796" s="16" t="s">
        <v>55</v>
      </c>
      <c r="V796" s="16" t="s">
        <v>127</v>
      </c>
      <c r="W796" s="16" t="s">
        <v>3515</v>
      </c>
      <c r="X796" s="49"/>
      <c r="Y796" s="49"/>
      <c r="Z796" s="49"/>
    </row>
    <row r="797" ht="15.0" customHeight="1">
      <c r="A797" s="7" t="s">
        <v>3516</v>
      </c>
      <c r="B797" s="7" t="s">
        <v>3517</v>
      </c>
      <c r="C797" s="7" t="s">
        <v>3518</v>
      </c>
      <c r="D797" s="7" t="s">
        <v>111</v>
      </c>
      <c r="E797" s="7" t="s">
        <v>180</v>
      </c>
      <c r="F797" s="7" t="s">
        <v>71</v>
      </c>
      <c r="G797" s="11" t="s">
        <v>55</v>
      </c>
      <c r="H797" s="11" t="s">
        <v>55</v>
      </c>
      <c r="I797" s="11" t="s">
        <v>55</v>
      </c>
      <c r="J797" s="7" t="s">
        <v>55</v>
      </c>
      <c r="K797" s="11" t="s">
        <v>3519</v>
      </c>
      <c r="L797" s="14" t="str">
        <f t="shared" si="1"/>
        <v>Não</v>
      </c>
      <c r="M797" s="7"/>
      <c r="N797" s="7"/>
      <c r="O797" s="7" t="s">
        <v>55</v>
      </c>
      <c r="P797" s="7"/>
      <c r="Q797" s="16" t="s">
        <v>55</v>
      </c>
      <c r="R797" s="16" t="s">
        <v>55</v>
      </c>
      <c r="S797" s="16" t="s">
        <v>55</v>
      </c>
      <c r="T797" s="16" t="s">
        <v>55</v>
      </c>
      <c r="U797" s="16" t="s">
        <v>55</v>
      </c>
      <c r="V797" s="16" t="s">
        <v>127</v>
      </c>
      <c r="W797" s="16" t="s">
        <v>3520</v>
      </c>
      <c r="X797" s="49"/>
      <c r="Y797" s="49"/>
      <c r="Z797" s="49"/>
    </row>
    <row r="798" ht="15.0" customHeight="1">
      <c r="A798" s="7" t="s">
        <v>3521</v>
      </c>
      <c r="B798" s="7" t="s">
        <v>3522</v>
      </c>
      <c r="C798" s="7" t="s">
        <v>3523</v>
      </c>
      <c r="D798" s="7" t="s">
        <v>111</v>
      </c>
      <c r="E798" s="7" t="s">
        <v>148</v>
      </c>
      <c r="F798" s="7" t="s">
        <v>71</v>
      </c>
      <c r="G798" s="11" t="s">
        <v>55</v>
      </c>
      <c r="H798" s="11" t="s">
        <v>55</v>
      </c>
      <c r="I798" s="11" t="s">
        <v>55</v>
      </c>
      <c r="J798" s="7" t="s">
        <v>55</v>
      </c>
      <c r="K798" s="11" t="s">
        <v>531</v>
      </c>
      <c r="L798" s="14" t="str">
        <f t="shared" si="1"/>
        <v>Não</v>
      </c>
      <c r="M798" s="7"/>
      <c r="N798" s="7"/>
      <c r="O798" s="7" t="s">
        <v>55</v>
      </c>
      <c r="P798" s="7"/>
      <c r="Q798" s="16" t="s">
        <v>55</v>
      </c>
      <c r="R798" s="16" t="s">
        <v>55</v>
      </c>
      <c r="S798" s="16" t="s">
        <v>55</v>
      </c>
      <c r="T798" s="16" t="s">
        <v>55</v>
      </c>
      <c r="U798" s="16" t="s">
        <v>55</v>
      </c>
      <c r="V798" s="16" t="s">
        <v>127</v>
      </c>
      <c r="W798" s="16" t="s">
        <v>532</v>
      </c>
      <c r="X798" s="49"/>
      <c r="Y798" s="49"/>
      <c r="Z798" s="49"/>
    </row>
    <row r="799" ht="15.0" customHeight="1">
      <c r="A799" s="7" t="s">
        <v>3524</v>
      </c>
      <c r="B799" s="7" t="s">
        <v>3525</v>
      </c>
      <c r="C799" s="7" t="s">
        <v>3526</v>
      </c>
      <c r="D799" s="7" t="s">
        <v>111</v>
      </c>
      <c r="E799" s="7" t="s">
        <v>202</v>
      </c>
      <c r="F799" s="7" t="s">
        <v>71</v>
      </c>
      <c r="G799" s="11" t="s">
        <v>57</v>
      </c>
      <c r="H799" s="11" t="s">
        <v>55</v>
      </c>
      <c r="I799" s="11" t="s">
        <v>55</v>
      </c>
      <c r="J799" s="7" t="s">
        <v>55</v>
      </c>
      <c r="K799" s="7"/>
      <c r="L799" s="14" t="str">
        <f t="shared" si="1"/>
        <v>Não</v>
      </c>
      <c r="M799" s="11"/>
      <c r="N799" s="7"/>
      <c r="O799" s="7" t="s">
        <v>55</v>
      </c>
      <c r="P799" s="7"/>
      <c r="Q799" s="16" t="s">
        <v>57</v>
      </c>
      <c r="R799" s="16" t="s">
        <v>55</v>
      </c>
      <c r="S799" s="16" t="s">
        <v>55</v>
      </c>
      <c r="T799" s="16" t="s">
        <v>55</v>
      </c>
      <c r="U799" s="16" t="s">
        <v>57</v>
      </c>
      <c r="V799" s="16" t="s">
        <v>225</v>
      </c>
      <c r="W799" s="16"/>
      <c r="X799" s="49"/>
      <c r="Y799" s="49"/>
      <c r="Z799" s="49"/>
    </row>
    <row r="800" ht="28.5" customHeight="1">
      <c r="A800" s="7" t="s">
        <v>3527</v>
      </c>
      <c r="B800" s="7" t="s">
        <v>3528</v>
      </c>
      <c r="C800" s="7" t="s">
        <v>3529</v>
      </c>
      <c r="D800" s="7" t="s">
        <v>111</v>
      </c>
      <c r="E800" s="7" t="s">
        <v>85</v>
      </c>
      <c r="F800" s="7" t="s">
        <v>71</v>
      </c>
      <c r="G800" s="11" t="s">
        <v>55</v>
      </c>
      <c r="H800" s="11" t="s">
        <v>55</v>
      </c>
      <c r="I800" s="11" t="s">
        <v>55</v>
      </c>
      <c r="J800" s="7" t="s">
        <v>55</v>
      </c>
      <c r="K800" s="11" t="s">
        <v>3530</v>
      </c>
      <c r="L800" s="14" t="str">
        <f t="shared" si="1"/>
        <v>Não</v>
      </c>
      <c r="M800" s="7"/>
      <c r="N800" s="7"/>
      <c r="O800" s="7" t="s">
        <v>55</v>
      </c>
      <c r="P800" s="7"/>
      <c r="Q800" s="16" t="s">
        <v>55</v>
      </c>
      <c r="R800" s="16" t="s">
        <v>55</v>
      </c>
      <c r="S800" s="16" t="s">
        <v>55</v>
      </c>
      <c r="T800" s="16" t="s">
        <v>55</v>
      </c>
      <c r="U800" s="16" t="s">
        <v>55</v>
      </c>
      <c r="V800" s="16" t="s">
        <v>127</v>
      </c>
      <c r="W800" s="16" t="s">
        <v>3531</v>
      </c>
      <c r="X800" s="49"/>
      <c r="Y800" s="49"/>
      <c r="Z800" s="49"/>
    </row>
    <row r="801" ht="15.0" customHeight="1">
      <c r="A801" s="7" t="s">
        <v>853</v>
      </c>
      <c r="B801" s="7" t="s">
        <v>854</v>
      </c>
      <c r="C801" s="7" t="s">
        <v>3532</v>
      </c>
      <c r="D801" s="7" t="s">
        <v>111</v>
      </c>
      <c r="E801" s="7" t="s">
        <v>107</v>
      </c>
      <c r="F801" s="7" t="s">
        <v>71</v>
      </c>
      <c r="G801" s="11" t="s">
        <v>55</v>
      </c>
      <c r="H801" s="11" t="s">
        <v>55</v>
      </c>
      <c r="I801" s="11" t="s">
        <v>55</v>
      </c>
      <c r="J801" s="7" t="s">
        <v>55</v>
      </c>
      <c r="K801" s="7"/>
      <c r="L801" s="14" t="str">
        <f t="shared" si="1"/>
        <v>Sim</v>
      </c>
      <c r="M801" s="11" t="s">
        <v>87</v>
      </c>
      <c r="N801" s="7"/>
      <c r="O801" s="7" t="s">
        <v>55</v>
      </c>
      <c r="P801" s="7"/>
      <c r="Q801" s="16" t="s">
        <v>55</v>
      </c>
      <c r="R801" s="16" t="s">
        <v>55</v>
      </c>
      <c r="S801" s="16" t="s">
        <v>55</v>
      </c>
      <c r="T801" s="16" t="s">
        <v>55</v>
      </c>
      <c r="U801" s="16" t="s">
        <v>55</v>
      </c>
      <c r="V801" s="16" t="s">
        <v>127</v>
      </c>
      <c r="W801" s="16"/>
      <c r="X801" s="49"/>
      <c r="Y801" s="49"/>
      <c r="Z801" s="49"/>
    </row>
    <row r="802" ht="15.0" customHeight="1">
      <c r="A802" s="7" t="s">
        <v>3533</v>
      </c>
      <c r="B802" s="7" t="s">
        <v>3534</v>
      </c>
      <c r="C802" s="7" t="s">
        <v>3535</v>
      </c>
      <c r="D802" s="7" t="s">
        <v>111</v>
      </c>
      <c r="E802" s="7" t="s">
        <v>48</v>
      </c>
      <c r="F802" s="7" t="s">
        <v>71</v>
      </c>
      <c r="G802" s="11" t="s">
        <v>55</v>
      </c>
      <c r="H802" s="11" t="s">
        <v>55</v>
      </c>
      <c r="I802" s="11" t="s">
        <v>55</v>
      </c>
      <c r="J802" s="7" t="s">
        <v>55</v>
      </c>
      <c r="K802" s="11" t="s">
        <v>3536</v>
      </c>
      <c r="L802" s="14" t="str">
        <f t="shared" si="1"/>
        <v>Não</v>
      </c>
      <c r="M802" s="7"/>
      <c r="N802" s="7"/>
      <c r="O802" s="7" t="s">
        <v>55</v>
      </c>
      <c r="P802" s="7"/>
      <c r="Q802" s="16" t="s">
        <v>55</v>
      </c>
      <c r="R802" s="16" t="s">
        <v>55</v>
      </c>
      <c r="S802" s="16" t="s">
        <v>55</v>
      </c>
      <c r="T802" s="16" t="s">
        <v>55</v>
      </c>
      <c r="U802" s="16" t="s">
        <v>55</v>
      </c>
      <c r="V802" s="16" t="s">
        <v>127</v>
      </c>
      <c r="W802" s="16" t="s">
        <v>3537</v>
      </c>
      <c r="X802" s="49"/>
      <c r="Y802" s="49"/>
      <c r="Z802" s="49"/>
    </row>
    <row r="803" ht="15.0" customHeight="1">
      <c r="A803" s="7" t="s">
        <v>3538</v>
      </c>
      <c r="B803" s="7" t="s">
        <v>3539</v>
      </c>
      <c r="C803" s="7" t="s">
        <v>3540</v>
      </c>
      <c r="D803" s="7" t="s">
        <v>111</v>
      </c>
      <c r="E803" s="7" t="s">
        <v>286</v>
      </c>
      <c r="F803" s="7" t="s">
        <v>71</v>
      </c>
      <c r="G803" s="11" t="s">
        <v>55</v>
      </c>
      <c r="H803" s="11" t="s">
        <v>55</v>
      </c>
      <c r="I803" s="11" t="s">
        <v>55</v>
      </c>
      <c r="J803" s="7" t="s">
        <v>55</v>
      </c>
      <c r="K803" s="11" t="s">
        <v>3541</v>
      </c>
      <c r="L803" s="14" t="str">
        <f t="shared" si="1"/>
        <v>Não</v>
      </c>
      <c r="M803" s="7"/>
      <c r="N803" s="7"/>
      <c r="O803" s="7" t="s">
        <v>55</v>
      </c>
      <c r="P803" s="7"/>
      <c r="Q803" s="16" t="s">
        <v>55</v>
      </c>
      <c r="R803" s="16" t="s">
        <v>55</v>
      </c>
      <c r="S803" s="16" t="s">
        <v>55</v>
      </c>
      <c r="T803" s="16" t="s">
        <v>55</v>
      </c>
      <c r="U803" s="16" t="s">
        <v>55</v>
      </c>
      <c r="V803" s="16" t="s">
        <v>127</v>
      </c>
      <c r="W803" s="16" t="s">
        <v>3542</v>
      </c>
      <c r="X803" s="49"/>
      <c r="Y803" s="49"/>
      <c r="Z803" s="49"/>
    </row>
    <row r="804" ht="15.0" customHeight="1">
      <c r="A804" s="7" t="s">
        <v>3543</v>
      </c>
      <c r="B804" s="7" t="s">
        <v>3544</v>
      </c>
      <c r="C804" s="7" t="s">
        <v>3545</v>
      </c>
      <c r="D804" s="7" t="s">
        <v>111</v>
      </c>
      <c r="E804" s="7" t="s">
        <v>291</v>
      </c>
      <c r="F804" s="7" t="s">
        <v>71</v>
      </c>
      <c r="G804" s="11" t="s">
        <v>55</v>
      </c>
      <c r="H804" s="11" t="s">
        <v>55</v>
      </c>
      <c r="I804" s="11" t="s">
        <v>55</v>
      </c>
      <c r="J804" s="7" t="s">
        <v>55</v>
      </c>
      <c r="K804" s="11" t="s">
        <v>3536</v>
      </c>
      <c r="L804" s="14" t="str">
        <f t="shared" si="1"/>
        <v>Não</v>
      </c>
      <c r="M804" s="7"/>
      <c r="N804" s="7"/>
      <c r="O804" s="7" t="s">
        <v>55</v>
      </c>
      <c r="P804" s="7"/>
      <c r="Q804" s="16" t="s">
        <v>55</v>
      </c>
      <c r="R804" s="16" t="s">
        <v>55</v>
      </c>
      <c r="S804" s="16" t="s">
        <v>55</v>
      </c>
      <c r="T804" s="16" t="s">
        <v>55</v>
      </c>
      <c r="U804" s="16" t="s">
        <v>55</v>
      </c>
      <c r="V804" s="16" t="s">
        <v>127</v>
      </c>
      <c r="W804" s="16" t="s">
        <v>3537</v>
      </c>
      <c r="X804" s="49"/>
      <c r="Y804" s="49"/>
      <c r="Z804" s="49"/>
    </row>
    <row r="805" ht="15.0" customHeight="1">
      <c r="A805" s="7" t="s">
        <v>3546</v>
      </c>
      <c r="B805" s="7" t="s">
        <v>3547</v>
      </c>
      <c r="C805" s="7" t="s">
        <v>3548</v>
      </c>
      <c r="D805" s="7" t="s">
        <v>146</v>
      </c>
      <c r="E805" s="7" t="s">
        <v>306</v>
      </c>
      <c r="F805" s="7" t="s">
        <v>71</v>
      </c>
      <c r="G805" s="11" t="s">
        <v>57</v>
      </c>
      <c r="H805" s="11" t="s">
        <v>55</v>
      </c>
      <c r="I805" s="11" t="s">
        <v>55</v>
      </c>
      <c r="J805" s="7" t="s">
        <v>55</v>
      </c>
      <c r="K805" s="7"/>
      <c r="L805" s="14" t="str">
        <f t="shared" si="1"/>
        <v>Não</v>
      </c>
      <c r="M805" s="11"/>
      <c r="N805" s="7"/>
      <c r="O805" s="7" t="s">
        <v>55</v>
      </c>
      <c r="P805" s="7"/>
      <c r="Q805" s="16" t="s">
        <v>57</v>
      </c>
      <c r="R805" s="16" t="s">
        <v>55</v>
      </c>
      <c r="S805" s="16" t="s">
        <v>55</v>
      </c>
      <c r="T805" s="16" t="s">
        <v>55</v>
      </c>
      <c r="U805" s="16" t="s">
        <v>57</v>
      </c>
      <c r="V805" s="16" t="s">
        <v>225</v>
      </c>
      <c r="W805" s="16"/>
      <c r="X805" s="49"/>
      <c r="Y805" s="49"/>
      <c r="Z805" s="49"/>
    </row>
    <row r="806" ht="15.0" customHeight="1">
      <c r="A806" s="7" t="s">
        <v>3549</v>
      </c>
      <c r="B806" s="7" t="s">
        <v>3550</v>
      </c>
      <c r="C806" s="7" t="s">
        <v>3551</v>
      </c>
      <c r="D806" s="7" t="s">
        <v>146</v>
      </c>
      <c r="E806" s="7" t="s">
        <v>213</v>
      </c>
      <c r="F806" s="7" t="s">
        <v>71</v>
      </c>
      <c r="G806" s="11" t="s">
        <v>55</v>
      </c>
      <c r="H806" s="11" t="s">
        <v>55</v>
      </c>
      <c r="I806" s="11" t="s">
        <v>55</v>
      </c>
      <c r="J806" s="7" t="s">
        <v>55</v>
      </c>
      <c r="K806" s="11" t="s">
        <v>3552</v>
      </c>
      <c r="L806" s="14" t="str">
        <f t="shared" si="1"/>
        <v>Não</v>
      </c>
      <c r="M806" s="7"/>
      <c r="N806" s="7"/>
      <c r="O806" s="7" t="s">
        <v>55</v>
      </c>
      <c r="P806" s="7"/>
      <c r="Q806" s="16" t="s">
        <v>55</v>
      </c>
      <c r="R806" s="16" t="s">
        <v>55</v>
      </c>
      <c r="S806" s="16" t="s">
        <v>55</v>
      </c>
      <c r="T806" s="16" t="s">
        <v>55</v>
      </c>
      <c r="U806" s="16" t="s">
        <v>55</v>
      </c>
      <c r="V806" s="16" t="s">
        <v>127</v>
      </c>
      <c r="W806" s="16" t="s">
        <v>3553</v>
      </c>
      <c r="X806" s="49"/>
      <c r="Y806" s="49"/>
      <c r="Z806" s="49"/>
    </row>
    <row r="807" ht="15.0" customHeight="1">
      <c r="A807" s="7" t="s">
        <v>3554</v>
      </c>
      <c r="B807" s="7" t="s">
        <v>3220</v>
      </c>
      <c r="C807" s="7" t="s">
        <v>3555</v>
      </c>
      <c r="D807" s="7" t="s">
        <v>146</v>
      </c>
      <c r="E807" s="7" t="s">
        <v>138</v>
      </c>
      <c r="F807" s="7" t="s">
        <v>71</v>
      </c>
      <c r="G807" s="11" t="s">
        <v>55</v>
      </c>
      <c r="H807" s="11" t="s">
        <v>55</v>
      </c>
      <c r="I807" s="11" t="s">
        <v>55</v>
      </c>
      <c r="J807" s="7" t="s">
        <v>55</v>
      </c>
      <c r="K807" s="11" t="s">
        <v>3556</v>
      </c>
      <c r="L807" s="14" t="str">
        <f t="shared" si="1"/>
        <v>Não</v>
      </c>
      <c r="M807" s="7"/>
      <c r="N807" s="7"/>
      <c r="O807" s="7" t="s">
        <v>55</v>
      </c>
      <c r="P807" s="7"/>
      <c r="Q807" s="16" t="s">
        <v>55</v>
      </c>
      <c r="R807" s="16" t="s">
        <v>55</v>
      </c>
      <c r="S807" s="16" t="s">
        <v>55</v>
      </c>
      <c r="T807" s="16" t="s">
        <v>55</v>
      </c>
      <c r="U807" s="16" t="s">
        <v>55</v>
      </c>
      <c r="V807" s="16" t="s">
        <v>127</v>
      </c>
      <c r="W807" s="16" t="s">
        <v>3557</v>
      </c>
      <c r="X807" s="49"/>
      <c r="Y807" s="49"/>
      <c r="Z807" s="49"/>
    </row>
    <row r="808" ht="15.0" customHeight="1">
      <c r="A808" s="7" t="s">
        <v>3558</v>
      </c>
      <c r="B808" s="7" t="s">
        <v>3559</v>
      </c>
      <c r="C808" s="7" t="s">
        <v>3560</v>
      </c>
      <c r="D808" s="7" t="s">
        <v>146</v>
      </c>
      <c r="E808" s="7" t="s">
        <v>213</v>
      </c>
      <c r="F808" s="7" t="s">
        <v>71</v>
      </c>
      <c r="G808" s="11" t="s">
        <v>55</v>
      </c>
      <c r="H808" s="11" t="s">
        <v>55</v>
      </c>
      <c r="I808" s="11" t="s">
        <v>55</v>
      </c>
      <c r="J808" s="7" t="s">
        <v>55</v>
      </c>
      <c r="K808" s="7"/>
      <c r="L808" s="14" t="str">
        <f t="shared" si="1"/>
        <v>Sim</v>
      </c>
      <c r="M808" s="11"/>
      <c r="N808" s="7"/>
      <c r="O808" s="7" t="s">
        <v>55</v>
      </c>
      <c r="P808" s="7"/>
      <c r="Q808" s="16" t="s">
        <v>55</v>
      </c>
      <c r="R808" s="16" t="s">
        <v>55</v>
      </c>
      <c r="S808" s="16" t="s">
        <v>55</v>
      </c>
      <c r="T808" s="16" t="s">
        <v>55</v>
      </c>
      <c r="U808" s="16" t="s">
        <v>55</v>
      </c>
      <c r="V808" s="16" t="s">
        <v>127</v>
      </c>
      <c r="W808" s="16"/>
      <c r="X808" s="49"/>
      <c r="Y808" s="49"/>
      <c r="Z808" s="49"/>
    </row>
    <row r="809">
      <c r="A809" s="7" t="s">
        <v>3561</v>
      </c>
      <c r="B809" s="7" t="s">
        <v>3562</v>
      </c>
      <c r="C809" s="7" t="s">
        <v>3563</v>
      </c>
      <c r="D809" s="7" t="s">
        <v>146</v>
      </c>
      <c r="E809" s="7" t="s">
        <v>107</v>
      </c>
      <c r="F809" s="7" t="s">
        <v>71</v>
      </c>
      <c r="G809" s="11" t="s">
        <v>55</v>
      </c>
      <c r="H809" s="11" t="s">
        <v>55</v>
      </c>
      <c r="I809" s="11" t="s">
        <v>55</v>
      </c>
      <c r="J809" s="7" t="s">
        <v>55</v>
      </c>
      <c r="K809" s="11" t="s">
        <v>3564</v>
      </c>
      <c r="L809" s="14" t="str">
        <f t="shared" si="1"/>
        <v>Não</v>
      </c>
      <c r="M809" s="7"/>
      <c r="N809" s="7"/>
      <c r="O809" s="7" t="s">
        <v>55</v>
      </c>
      <c r="P809" s="7"/>
      <c r="Q809" s="16" t="s">
        <v>55</v>
      </c>
      <c r="R809" s="16" t="s">
        <v>55</v>
      </c>
      <c r="S809" s="16" t="s">
        <v>55</v>
      </c>
      <c r="T809" s="16" t="s">
        <v>55</v>
      </c>
      <c r="U809" s="16" t="s">
        <v>55</v>
      </c>
      <c r="V809" s="16" t="s">
        <v>127</v>
      </c>
      <c r="W809" s="16" t="s">
        <v>3565</v>
      </c>
      <c r="X809" s="49"/>
      <c r="Y809" s="49"/>
      <c r="Z809" s="49"/>
    </row>
    <row r="810">
      <c r="A810" s="7" t="s">
        <v>3566</v>
      </c>
      <c r="B810" s="7" t="s">
        <v>3567</v>
      </c>
      <c r="C810" s="7" t="s">
        <v>3568</v>
      </c>
      <c r="D810" s="7" t="s">
        <v>146</v>
      </c>
      <c r="E810" s="7" t="s">
        <v>250</v>
      </c>
      <c r="F810" s="7" t="s">
        <v>71</v>
      </c>
      <c r="G810" s="11" t="s">
        <v>55</v>
      </c>
      <c r="H810" s="11" t="s">
        <v>55</v>
      </c>
      <c r="I810" s="11" t="s">
        <v>55</v>
      </c>
      <c r="J810" s="7" t="s">
        <v>55</v>
      </c>
      <c r="K810" s="11" t="s">
        <v>3569</v>
      </c>
      <c r="L810" s="14" t="str">
        <f t="shared" si="1"/>
        <v>Não</v>
      </c>
      <c r="M810" s="7"/>
      <c r="N810" s="7"/>
      <c r="O810" s="7" t="s">
        <v>55</v>
      </c>
      <c r="P810" s="7"/>
      <c r="Q810" s="16" t="s">
        <v>55</v>
      </c>
      <c r="R810" s="16" t="s">
        <v>55</v>
      </c>
      <c r="S810" s="16" t="s">
        <v>55</v>
      </c>
      <c r="T810" s="16" t="s">
        <v>55</v>
      </c>
      <c r="U810" s="16" t="s">
        <v>55</v>
      </c>
      <c r="V810" s="16" t="s">
        <v>127</v>
      </c>
      <c r="W810" s="16" t="s">
        <v>3570</v>
      </c>
      <c r="X810" s="49"/>
      <c r="Y810" s="49"/>
      <c r="Z810" s="49"/>
    </row>
    <row r="811" ht="15.0" customHeight="1">
      <c r="A811" s="7" t="s">
        <v>3571</v>
      </c>
      <c r="B811" s="7" t="s">
        <v>3572</v>
      </c>
      <c r="C811" s="7" t="s">
        <v>3573</v>
      </c>
      <c r="D811" s="7" t="s">
        <v>146</v>
      </c>
      <c r="E811" s="7" t="s">
        <v>138</v>
      </c>
      <c r="F811" s="7" t="s">
        <v>71</v>
      </c>
      <c r="G811" s="11" t="s">
        <v>57</v>
      </c>
      <c r="H811" s="11" t="s">
        <v>55</v>
      </c>
      <c r="I811" s="11" t="s">
        <v>55</v>
      </c>
      <c r="J811" s="7" t="s">
        <v>55</v>
      </c>
      <c r="K811" s="7"/>
      <c r="L811" s="14" t="str">
        <f t="shared" si="1"/>
        <v>Não</v>
      </c>
      <c r="M811" s="11"/>
      <c r="N811" s="7"/>
      <c r="O811" s="7" t="s">
        <v>55</v>
      </c>
      <c r="P811" s="7"/>
      <c r="Q811" s="16" t="s">
        <v>57</v>
      </c>
      <c r="R811" s="16" t="s">
        <v>55</v>
      </c>
      <c r="S811" s="16" t="s">
        <v>55</v>
      </c>
      <c r="T811" s="16" t="s">
        <v>55</v>
      </c>
      <c r="U811" s="16" t="s">
        <v>57</v>
      </c>
      <c r="V811" s="16" t="s">
        <v>225</v>
      </c>
      <c r="W811" s="16"/>
      <c r="X811" s="49"/>
      <c r="Y811" s="49"/>
      <c r="Z811" s="49"/>
    </row>
    <row r="812" ht="15.0" customHeight="1">
      <c r="A812" s="7" t="s">
        <v>3574</v>
      </c>
      <c r="B812" s="7" t="s">
        <v>3575</v>
      </c>
      <c r="C812" s="7" t="s">
        <v>3576</v>
      </c>
      <c r="D812" s="7" t="s">
        <v>146</v>
      </c>
      <c r="E812" s="7" t="s">
        <v>243</v>
      </c>
      <c r="F812" s="7" t="s">
        <v>71</v>
      </c>
      <c r="G812" s="11" t="s">
        <v>57</v>
      </c>
      <c r="H812" s="11" t="s">
        <v>55</v>
      </c>
      <c r="I812" s="11" t="s">
        <v>55</v>
      </c>
      <c r="J812" s="7" t="s">
        <v>55</v>
      </c>
      <c r="K812" s="7"/>
      <c r="L812" s="14" t="str">
        <f t="shared" si="1"/>
        <v>Não</v>
      </c>
      <c r="M812" s="11"/>
      <c r="N812" s="7"/>
      <c r="O812" s="7" t="s">
        <v>55</v>
      </c>
      <c r="P812" s="7"/>
      <c r="Q812" s="16" t="s">
        <v>57</v>
      </c>
      <c r="R812" s="16" t="s">
        <v>55</v>
      </c>
      <c r="S812" s="16" t="s">
        <v>55</v>
      </c>
      <c r="T812" s="16" t="s">
        <v>55</v>
      </c>
      <c r="U812" s="16" t="s">
        <v>57</v>
      </c>
      <c r="V812" s="16" t="s">
        <v>225</v>
      </c>
      <c r="W812" s="16"/>
      <c r="X812" s="49"/>
      <c r="Y812" s="49"/>
      <c r="Z812" s="49"/>
    </row>
    <row r="813" ht="15.0" customHeight="1">
      <c r="A813" s="7" t="s">
        <v>3577</v>
      </c>
      <c r="B813" s="7" t="s">
        <v>3578</v>
      </c>
      <c r="C813" s="7" t="s">
        <v>3579</v>
      </c>
      <c r="D813" s="7" t="s">
        <v>146</v>
      </c>
      <c r="E813" s="7" t="s">
        <v>202</v>
      </c>
      <c r="F813" s="7" t="s">
        <v>71</v>
      </c>
      <c r="G813" s="11" t="s">
        <v>57</v>
      </c>
      <c r="H813" s="11" t="s">
        <v>55</v>
      </c>
      <c r="I813" s="11" t="s">
        <v>55</v>
      </c>
      <c r="J813" s="7" t="s">
        <v>55</v>
      </c>
      <c r="K813" s="7"/>
      <c r="L813" s="14" t="str">
        <f t="shared" si="1"/>
        <v>Não</v>
      </c>
      <c r="M813" s="11"/>
      <c r="N813" s="7"/>
      <c r="O813" s="7" t="s">
        <v>55</v>
      </c>
      <c r="P813" s="7"/>
      <c r="Q813" s="16" t="s">
        <v>57</v>
      </c>
      <c r="R813" s="16" t="s">
        <v>55</v>
      </c>
      <c r="S813" s="16" t="s">
        <v>55</v>
      </c>
      <c r="T813" s="16" t="s">
        <v>55</v>
      </c>
      <c r="U813" s="16" t="s">
        <v>57</v>
      </c>
      <c r="V813" s="16" t="s">
        <v>225</v>
      </c>
      <c r="W813" s="16"/>
      <c r="X813" s="49"/>
      <c r="Y813" s="49"/>
      <c r="Z813" s="49"/>
    </row>
    <row r="814" ht="15.0" customHeight="1">
      <c r="A814" s="7" t="s">
        <v>3580</v>
      </c>
      <c r="B814" s="7" t="s">
        <v>3581</v>
      </c>
      <c r="C814" s="7" t="s">
        <v>3582</v>
      </c>
      <c r="D814" s="7" t="s">
        <v>146</v>
      </c>
      <c r="E814" s="7" t="s">
        <v>213</v>
      </c>
      <c r="F814" s="7" t="s">
        <v>71</v>
      </c>
      <c r="G814" s="11" t="s">
        <v>55</v>
      </c>
      <c r="H814" s="11" t="s">
        <v>55</v>
      </c>
      <c r="I814" s="11" t="s">
        <v>55</v>
      </c>
      <c r="J814" s="7" t="s">
        <v>55</v>
      </c>
      <c r="K814" s="7"/>
      <c r="L814" s="14" t="str">
        <f t="shared" si="1"/>
        <v>Sim</v>
      </c>
      <c r="M814" s="11"/>
      <c r="N814" s="7"/>
      <c r="O814" s="7" t="s">
        <v>55</v>
      </c>
      <c r="P814" s="7"/>
      <c r="Q814" s="16" t="s">
        <v>55</v>
      </c>
      <c r="R814" s="16" t="s">
        <v>55</v>
      </c>
      <c r="S814" s="16" t="s">
        <v>55</v>
      </c>
      <c r="T814" s="16" t="s">
        <v>55</v>
      </c>
      <c r="U814" s="16" t="s">
        <v>55</v>
      </c>
      <c r="V814" s="16" t="s">
        <v>127</v>
      </c>
      <c r="W814" s="16"/>
      <c r="X814" s="49"/>
      <c r="Y814" s="49"/>
      <c r="Z814" s="49"/>
    </row>
    <row r="815" ht="15.0" customHeight="1">
      <c r="A815" s="7" t="s">
        <v>3583</v>
      </c>
      <c r="B815" s="7" t="s">
        <v>3584</v>
      </c>
      <c r="C815" s="7" t="s">
        <v>3585</v>
      </c>
      <c r="D815" s="7" t="s">
        <v>146</v>
      </c>
      <c r="E815" s="7" t="s">
        <v>85</v>
      </c>
      <c r="F815" s="7" t="s">
        <v>71</v>
      </c>
      <c r="G815" s="11" t="s">
        <v>57</v>
      </c>
      <c r="H815" s="11" t="s">
        <v>55</v>
      </c>
      <c r="I815" s="11" t="s">
        <v>55</v>
      </c>
      <c r="J815" s="7" t="s">
        <v>55</v>
      </c>
      <c r="K815" s="7"/>
      <c r="L815" s="14" t="str">
        <f t="shared" si="1"/>
        <v>Não</v>
      </c>
      <c r="M815" s="11"/>
      <c r="N815" s="7"/>
      <c r="O815" s="7" t="s">
        <v>55</v>
      </c>
      <c r="P815" s="7"/>
      <c r="Q815" s="16" t="s">
        <v>57</v>
      </c>
      <c r="R815" s="16" t="s">
        <v>55</v>
      </c>
      <c r="S815" s="16" t="s">
        <v>55</v>
      </c>
      <c r="T815" s="16" t="s">
        <v>55</v>
      </c>
      <c r="U815" s="16" t="s">
        <v>57</v>
      </c>
      <c r="V815" s="16" t="s">
        <v>225</v>
      </c>
      <c r="W815" s="16"/>
      <c r="X815" s="49"/>
      <c r="Y815" s="49"/>
      <c r="Z815" s="49"/>
    </row>
    <row r="816" ht="15.0" customHeight="1">
      <c r="A816" s="7" t="s">
        <v>3586</v>
      </c>
      <c r="B816" s="7" t="s">
        <v>3587</v>
      </c>
      <c r="C816" s="7" t="s">
        <v>3588</v>
      </c>
      <c r="D816" s="7" t="s">
        <v>146</v>
      </c>
      <c r="E816" s="7" t="s">
        <v>243</v>
      </c>
      <c r="F816" s="7" t="s">
        <v>71</v>
      </c>
      <c r="G816" s="11" t="s">
        <v>57</v>
      </c>
      <c r="H816" s="11" t="s">
        <v>55</v>
      </c>
      <c r="I816" s="11" t="s">
        <v>55</v>
      </c>
      <c r="J816" s="7" t="s">
        <v>55</v>
      </c>
      <c r="K816" s="7"/>
      <c r="L816" s="14" t="str">
        <f t="shared" si="1"/>
        <v>Não</v>
      </c>
      <c r="M816" s="11"/>
      <c r="N816" s="7"/>
      <c r="O816" s="7" t="s">
        <v>55</v>
      </c>
      <c r="P816" s="7"/>
      <c r="Q816" s="16" t="s">
        <v>57</v>
      </c>
      <c r="R816" s="16" t="s">
        <v>55</v>
      </c>
      <c r="S816" s="16" t="s">
        <v>55</v>
      </c>
      <c r="T816" s="16" t="s">
        <v>55</v>
      </c>
      <c r="U816" s="16" t="s">
        <v>57</v>
      </c>
      <c r="V816" s="16" t="s">
        <v>225</v>
      </c>
      <c r="W816" s="16"/>
      <c r="X816" s="49"/>
      <c r="Y816" s="49"/>
      <c r="Z816" s="49"/>
    </row>
    <row r="817" ht="31.5" customHeight="1">
      <c r="A817" s="7" t="s">
        <v>3589</v>
      </c>
      <c r="B817" s="7" t="s">
        <v>3590</v>
      </c>
      <c r="C817" s="7" t="s">
        <v>3591</v>
      </c>
      <c r="D817" s="7" t="s">
        <v>146</v>
      </c>
      <c r="E817" s="7" t="s">
        <v>85</v>
      </c>
      <c r="F817" s="7" t="s">
        <v>71</v>
      </c>
      <c r="G817" s="11" t="s">
        <v>55</v>
      </c>
      <c r="H817" s="11" t="s">
        <v>55</v>
      </c>
      <c r="I817" s="11" t="s">
        <v>55</v>
      </c>
      <c r="J817" s="7" t="s">
        <v>55</v>
      </c>
      <c r="K817" s="11" t="s">
        <v>3592</v>
      </c>
      <c r="L817" s="14" t="str">
        <f t="shared" si="1"/>
        <v>Não</v>
      </c>
      <c r="M817" s="7"/>
      <c r="N817" s="7"/>
      <c r="O817" s="7" t="s">
        <v>55</v>
      </c>
      <c r="P817" s="7"/>
      <c r="Q817" s="16" t="s">
        <v>55</v>
      </c>
      <c r="R817" s="16" t="s">
        <v>55</v>
      </c>
      <c r="S817" s="16" t="s">
        <v>55</v>
      </c>
      <c r="T817" s="16" t="s">
        <v>55</v>
      </c>
      <c r="U817" s="16" t="s">
        <v>55</v>
      </c>
      <c r="V817" s="16" t="s">
        <v>127</v>
      </c>
      <c r="W817" s="16" t="s">
        <v>3593</v>
      </c>
      <c r="X817" s="49"/>
      <c r="Y817" s="49"/>
      <c r="Z817" s="49"/>
    </row>
    <row r="818" ht="15.0" customHeight="1">
      <c r="A818" s="7" t="s">
        <v>3594</v>
      </c>
      <c r="B818" s="7" t="s">
        <v>2374</v>
      </c>
      <c r="C818" s="7" t="s">
        <v>3595</v>
      </c>
      <c r="D818" s="7" t="s">
        <v>146</v>
      </c>
      <c r="E818" s="7" t="s">
        <v>85</v>
      </c>
      <c r="F818" s="7" t="s">
        <v>71</v>
      </c>
      <c r="G818" s="11" t="s">
        <v>57</v>
      </c>
      <c r="H818" s="11" t="s">
        <v>55</v>
      </c>
      <c r="I818" s="11" t="s">
        <v>55</v>
      </c>
      <c r="J818" s="7" t="s">
        <v>55</v>
      </c>
      <c r="K818" s="7"/>
      <c r="L818" s="14" t="str">
        <f t="shared" si="1"/>
        <v>Não</v>
      </c>
      <c r="M818" s="11"/>
      <c r="N818" s="7"/>
      <c r="O818" s="7" t="s">
        <v>55</v>
      </c>
      <c r="P818" s="7"/>
      <c r="Q818" s="16" t="s">
        <v>57</v>
      </c>
      <c r="R818" s="16" t="s">
        <v>55</v>
      </c>
      <c r="S818" s="16" t="s">
        <v>55</v>
      </c>
      <c r="T818" s="16" t="s">
        <v>55</v>
      </c>
      <c r="U818" s="16" t="s">
        <v>57</v>
      </c>
      <c r="V818" s="16" t="s">
        <v>225</v>
      </c>
      <c r="W818" s="16"/>
      <c r="X818" s="49"/>
      <c r="Y818" s="49"/>
      <c r="Z818" s="49"/>
    </row>
    <row r="819" ht="15.0" customHeight="1">
      <c r="A819" s="7" t="s">
        <v>3596</v>
      </c>
      <c r="B819" s="7" t="s">
        <v>3382</v>
      </c>
      <c r="C819" s="7" t="s">
        <v>3597</v>
      </c>
      <c r="D819" s="7" t="s">
        <v>146</v>
      </c>
      <c r="E819" s="7" t="s">
        <v>286</v>
      </c>
      <c r="F819" s="7" t="s">
        <v>71</v>
      </c>
      <c r="G819" s="11" t="s">
        <v>57</v>
      </c>
      <c r="H819" s="11" t="s">
        <v>55</v>
      </c>
      <c r="I819" s="11" t="s">
        <v>55</v>
      </c>
      <c r="J819" s="7" t="s">
        <v>55</v>
      </c>
      <c r="K819" s="7"/>
      <c r="L819" s="14" t="str">
        <f t="shared" si="1"/>
        <v>Não</v>
      </c>
      <c r="M819" s="11"/>
      <c r="N819" s="7"/>
      <c r="O819" s="7" t="s">
        <v>55</v>
      </c>
      <c r="P819" s="7"/>
      <c r="Q819" s="16" t="s">
        <v>57</v>
      </c>
      <c r="R819" s="16" t="s">
        <v>55</v>
      </c>
      <c r="S819" s="16" t="s">
        <v>55</v>
      </c>
      <c r="T819" s="16" t="s">
        <v>55</v>
      </c>
      <c r="U819" s="16" t="s">
        <v>57</v>
      </c>
      <c r="V819" s="16" t="s">
        <v>225</v>
      </c>
      <c r="W819" s="16"/>
      <c r="X819" s="49"/>
      <c r="Y819" s="49"/>
      <c r="Z819" s="49"/>
    </row>
    <row r="820" ht="15.0" customHeight="1">
      <c r="A820" s="7" t="s">
        <v>3598</v>
      </c>
      <c r="B820" s="7" t="s">
        <v>3599</v>
      </c>
      <c r="C820" s="7" t="s">
        <v>3600</v>
      </c>
      <c r="D820" s="7" t="s">
        <v>146</v>
      </c>
      <c r="E820" s="7" t="s">
        <v>243</v>
      </c>
      <c r="F820" s="7" t="s">
        <v>71</v>
      </c>
      <c r="G820" s="11" t="s">
        <v>55</v>
      </c>
      <c r="H820" s="11" t="s">
        <v>55</v>
      </c>
      <c r="I820" s="11" t="s">
        <v>55</v>
      </c>
      <c r="J820" s="7" t="s">
        <v>55</v>
      </c>
      <c r="K820" s="11" t="s">
        <v>3601</v>
      </c>
      <c r="L820" s="14" t="str">
        <f t="shared" si="1"/>
        <v>Não</v>
      </c>
      <c r="M820" s="7"/>
      <c r="N820" s="7"/>
      <c r="O820" s="7" t="s">
        <v>55</v>
      </c>
      <c r="P820" s="7"/>
      <c r="Q820" s="16" t="s">
        <v>55</v>
      </c>
      <c r="R820" s="16" t="s">
        <v>55</v>
      </c>
      <c r="S820" s="16" t="s">
        <v>55</v>
      </c>
      <c r="T820" s="16" t="s">
        <v>55</v>
      </c>
      <c r="U820" s="16" t="s">
        <v>55</v>
      </c>
      <c r="V820" s="16" t="s">
        <v>184</v>
      </c>
      <c r="W820" s="16" t="s">
        <v>3602</v>
      </c>
      <c r="X820" s="49"/>
      <c r="Y820" s="49"/>
      <c r="Z820" s="49"/>
    </row>
    <row r="821" ht="15.0" customHeight="1">
      <c r="A821" s="7" t="s">
        <v>3603</v>
      </c>
      <c r="B821" s="7" t="s">
        <v>3604</v>
      </c>
      <c r="C821" s="7" t="s">
        <v>3605</v>
      </c>
      <c r="D821" s="7" t="s">
        <v>146</v>
      </c>
      <c r="E821" s="7" t="s">
        <v>80</v>
      </c>
      <c r="F821" s="7" t="s">
        <v>71</v>
      </c>
      <c r="G821" s="11" t="s">
        <v>55</v>
      </c>
      <c r="H821" s="11" t="s">
        <v>55</v>
      </c>
      <c r="I821" s="11" t="s">
        <v>55</v>
      </c>
      <c r="J821" s="7" t="s">
        <v>55</v>
      </c>
      <c r="K821" s="11" t="s">
        <v>3606</v>
      </c>
      <c r="L821" s="14" t="str">
        <f t="shared" si="1"/>
        <v>Não</v>
      </c>
      <c r="M821" s="7"/>
      <c r="N821" s="7"/>
      <c r="O821" s="7" t="s">
        <v>55</v>
      </c>
      <c r="P821" s="7"/>
      <c r="Q821" s="16" t="s">
        <v>55</v>
      </c>
      <c r="R821" s="16" t="s">
        <v>55</v>
      </c>
      <c r="S821" s="16" t="s">
        <v>55</v>
      </c>
      <c r="T821" s="16" t="s">
        <v>55</v>
      </c>
      <c r="U821" s="16" t="s">
        <v>55</v>
      </c>
      <c r="V821" s="16" t="s">
        <v>127</v>
      </c>
      <c r="W821" s="16" t="s">
        <v>3607</v>
      </c>
      <c r="X821" s="49"/>
      <c r="Y821" s="49"/>
      <c r="Z821" s="49"/>
    </row>
    <row r="822" ht="15.0" customHeight="1">
      <c r="A822" s="7" t="s">
        <v>3608</v>
      </c>
      <c r="B822" s="7" t="s">
        <v>3609</v>
      </c>
      <c r="C822" s="7" t="s">
        <v>3610</v>
      </c>
      <c r="D822" s="7" t="s">
        <v>146</v>
      </c>
      <c r="E822" s="7" t="s">
        <v>267</v>
      </c>
      <c r="F822" s="7" t="s">
        <v>71</v>
      </c>
      <c r="G822" s="11" t="s">
        <v>55</v>
      </c>
      <c r="H822" s="11" t="s">
        <v>55</v>
      </c>
      <c r="I822" s="11" t="s">
        <v>55</v>
      </c>
      <c r="J822" s="7" t="s">
        <v>55</v>
      </c>
      <c r="K822" s="11" t="s">
        <v>3611</v>
      </c>
      <c r="L822" s="14" t="str">
        <f t="shared" si="1"/>
        <v>Não</v>
      </c>
      <c r="M822" s="7"/>
      <c r="N822" s="7"/>
      <c r="O822" s="7" t="s">
        <v>55</v>
      </c>
      <c r="P822" s="7"/>
      <c r="Q822" s="16" t="s">
        <v>55</v>
      </c>
      <c r="R822" s="16" t="s">
        <v>55</v>
      </c>
      <c r="S822" s="16" t="s">
        <v>55</v>
      </c>
      <c r="T822" s="16" t="s">
        <v>55</v>
      </c>
      <c r="U822" s="16" t="s">
        <v>55</v>
      </c>
      <c r="V822" s="16" t="s">
        <v>127</v>
      </c>
      <c r="W822" s="16" t="s">
        <v>3612</v>
      </c>
      <c r="X822" s="49"/>
      <c r="Y822" s="49"/>
      <c r="Z822" s="49"/>
    </row>
    <row r="823" ht="15.0" customHeight="1">
      <c r="A823" s="7" t="s">
        <v>3613</v>
      </c>
      <c r="B823" s="7" t="s">
        <v>3614</v>
      </c>
      <c r="C823" s="7" t="s">
        <v>3615</v>
      </c>
      <c r="D823" s="7" t="s">
        <v>146</v>
      </c>
      <c r="E823" s="7" t="s">
        <v>291</v>
      </c>
      <c r="F823" s="7" t="s">
        <v>71</v>
      </c>
      <c r="G823" s="11" t="s">
        <v>55</v>
      </c>
      <c r="H823" s="11" t="s">
        <v>55</v>
      </c>
      <c r="I823" s="11" t="s">
        <v>55</v>
      </c>
      <c r="J823" s="7" t="s">
        <v>55</v>
      </c>
      <c r="K823" s="11" t="s">
        <v>3616</v>
      </c>
      <c r="L823" s="14" t="str">
        <f t="shared" si="1"/>
        <v>Não</v>
      </c>
      <c r="M823" s="7"/>
      <c r="N823" s="7"/>
      <c r="O823" s="7" t="s">
        <v>55</v>
      </c>
      <c r="P823" s="7"/>
      <c r="Q823" s="16" t="s">
        <v>55</v>
      </c>
      <c r="R823" s="16" t="s">
        <v>55</v>
      </c>
      <c r="S823" s="16" t="s">
        <v>55</v>
      </c>
      <c r="T823" s="16" t="s">
        <v>55</v>
      </c>
      <c r="U823" s="16" t="s">
        <v>55</v>
      </c>
      <c r="V823" s="16" t="s">
        <v>127</v>
      </c>
      <c r="W823" s="16" t="s">
        <v>3617</v>
      </c>
      <c r="X823" s="49"/>
      <c r="Y823" s="49"/>
      <c r="Z823" s="49"/>
    </row>
    <row r="824" ht="15.0" customHeight="1">
      <c r="A824" s="7" t="s">
        <v>3618</v>
      </c>
      <c r="B824" s="7" t="s">
        <v>3614</v>
      </c>
      <c r="C824" s="7" t="s">
        <v>3615</v>
      </c>
      <c r="D824" s="7" t="s">
        <v>146</v>
      </c>
      <c r="E824" s="7" t="s">
        <v>291</v>
      </c>
      <c r="F824" s="7" t="s">
        <v>71</v>
      </c>
      <c r="G824" s="11" t="s">
        <v>55</v>
      </c>
      <c r="H824" s="11" t="s">
        <v>55</v>
      </c>
      <c r="I824" s="11" t="s">
        <v>55</v>
      </c>
      <c r="J824" s="7" t="s">
        <v>55</v>
      </c>
      <c r="K824" s="11" t="s">
        <v>3619</v>
      </c>
      <c r="L824" s="14" t="str">
        <f t="shared" si="1"/>
        <v>Não</v>
      </c>
      <c r="M824" s="7"/>
      <c r="N824" s="7"/>
      <c r="O824" s="7" t="s">
        <v>55</v>
      </c>
      <c r="P824" s="7"/>
      <c r="Q824" s="16" t="s">
        <v>55</v>
      </c>
      <c r="R824" s="16" t="s">
        <v>55</v>
      </c>
      <c r="S824" s="16" t="s">
        <v>55</v>
      </c>
      <c r="T824" s="16" t="s">
        <v>55</v>
      </c>
      <c r="U824" s="16" t="s">
        <v>55</v>
      </c>
      <c r="V824" s="16" t="s">
        <v>127</v>
      </c>
      <c r="W824" s="16" t="s">
        <v>3620</v>
      </c>
      <c r="X824" s="49"/>
      <c r="Y824" s="49"/>
      <c r="Z824" s="49"/>
    </row>
    <row r="825" ht="15.0" customHeight="1">
      <c r="A825" s="7" t="s">
        <v>3621</v>
      </c>
      <c r="B825" s="7" t="s">
        <v>3622</v>
      </c>
      <c r="C825" s="7" t="s">
        <v>3623</v>
      </c>
      <c r="D825" s="7" t="s">
        <v>146</v>
      </c>
      <c r="E825" s="7" t="s">
        <v>148</v>
      </c>
      <c r="F825" s="7" t="s">
        <v>71</v>
      </c>
      <c r="G825" s="11" t="s">
        <v>57</v>
      </c>
      <c r="H825" s="11" t="s">
        <v>55</v>
      </c>
      <c r="I825" s="11" t="s">
        <v>55</v>
      </c>
      <c r="J825" s="7" t="s">
        <v>55</v>
      </c>
      <c r="K825" s="7"/>
      <c r="L825" s="14" t="str">
        <f t="shared" si="1"/>
        <v>Não</v>
      </c>
      <c r="M825" s="11"/>
      <c r="N825" s="7"/>
      <c r="O825" s="7" t="s">
        <v>55</v>
      </c>
      <c r="P825" s="7"/>
      <c r="Q825" s="16" t="s">
        <v>57</v>
      </c>
      <c r="R825" s="16" t="s">
        <v>55</v>
      </c>
      <c r="S825" s="16" t="s">
        <v>55</v>
      </c>
      <c r="T825" s="16" t="s">
        <v>55</v>
      </c>
      <c r="U825" s="16" t="s">
        <v>57</v>
      </c>
      <c r="V825" s="16" t="s">
        <v>225</v>
      </c>
      <c r="W825" s="16"/>
      <c r="X825" s="49"/>
      <c r="Y825" s="49"/>
      <c r="Z825" s="49"/>
    </row>
    <row r="826" ht="15.0" customHeight="1">
      <c r="A826" s="7" t="s">
        <v>3624</v>
      </c>
      <c r="B826" s="7" t="s">
        <v>3625</v>
      </c>
      <c r="C826" s="7" t="s">
        <v>3626</v>
      </c>
      <c r="D826" s="7" t="s">
        <v>146</v>
      </c>
      <c r="E826" s="7" t="s">
        <v>300</v>
      </c>
      <c r="F826" s="7" t="s">
        <v>71</v>
      </c>
      <c r="G826" s="11" t="s">
        <v>57</v>
      </c>
      <c r="H826" s="11" t="s">
        <v>55</v>
      </c>
      <c r="I826" s="11" t="s">
        <v>55</v>
      </c>
      <c r="J826" s="7" t="s">
        <v>55</v>
      </c>
      <c r="K826" s="7"/>
      <c r="L826" s="14" t="str">
        <f t="shared" si="1"/>
        <v>Não</v>
      </c>
      <c r="M826" s="11"/>
      <c r="N826" s="7"/>
      <c r="O826" s="7" t="s">
        <v>55</v>
      </c>
      <c r="P826" s="7"/>
      <c r="Q826" s="16" t="s">
        <v>57</v>
      </c>
      <c r="R826" s="16" t="s">
        <v>55</v>
      </c>
      <c r="S826" s="16" t="s">
        <v>55</v>
      </c>
      <c r="T826" s="16" t="s">
        <v>55</v>
      </c>
      <c r="U826" s="16" t="s">
        <v>57</v>
      </c>
      <c r="V826" s="16" t="s">
        <v>1440</v>
      </c>
      <c r="W826" s="16"/>
      <c r="X826" s="49"/>
      <c r="Y826" s="49"/>
      <c r="Z826" s="49"/>
    </row>
    <row r="827" ht="15.0" customHeight="1">
      <c r="A827" s="7" t="s">
        <v>3627</v>
      </c>
      <c r="B827" s="7" t="s">
        <v>3628</v>
      </c>
      <c r="C827" s="7" t="s">
        <v>3629</v>
      </c>
      <c r="D827" s="7" t="s">
        <v>146</v>
      </c>
      <c r="E827" s="7" t="s">
        <v>138</v>
      </c>
      <c r="F827" s="7" t="s">
        <v>71</v>
      </c>
      <c r="G827" s="11" t="s">
        <v>55</v>
      </c>
      <c r="H827" s="11" t="s">
        <v>55</v>
      </c>
      <c r="I827" s="11" t="s">
        <v>55</v>
      </c>
      <c r="J827" s="7" t="s">
        <v>55</v>
      </c>
      <c r="K827" s="11" t="s">
        <v>3630</v>
      </c>
      <c r="L827" s="14" t="str">
        <f t="shared" si="1"/>
        <v>Não</v>
      </c>
      <c r="M827" s="7"/>
      <c r="N827" s="7"/>
      <c r="O827" s="7" t="s">
        <v>55</v>
      </c>
      <c r="P827" s="7"/>
      <c r="Q827" s="16" t="s">
        <v>55</v>
      </c>
      <c r="R827" s="16" t="s">
        <v>55</v>
      </c>
      <c r="S827" s="16" t="s">
        <v>55</v>
      </c>
      <c r="T827" s="16" t="s">
        <v>55</v>
      </c>
      <c r="U827" s="16" t="s">
        <v>55</v>
      </c>
      <c r="V827" s="16" t="s">
        <v>127</v>
      </c>
      <c r="W827" s="16" t="s">
        <v>3631</v>
      </c>
      <c r="X827" s="49"/>
      <c r="Y827" s="49"/>
      <c r="Z827" s="49"/>
    </row>
    <row r="828" ht="15.0" customHeight="1">
      <c r="A828" s="7" t="s">
        <v>3632</v>
      </c>
      <c r="B828" s="7" t="s">
        <v>3633</v>
      </c>
      <c r="C828" s="7" t="s">
        <v>3626</v>
      </c>
      <c r="D828" s="7" t="s">
        <v>146</v>
      </c>
      <c r="E828" s="7" t="s">
        <v>300</v>
      </c>
      <c r="F828" s="7" t="s">
        <v>71</v>
      </c>
      <c r="G828" s="11" t="s">
        <v>57</v>
      </c>
      <c r="H828" s="11" t="s">
        <v>55</v>
      </c>
      <c r="I828" s="11" t="s">
        <v>55</v>
      </c>
      <c r="J828" s="7" t="s">
        <v>55</v>
      </c>
      <c r="K828" s="7"/>
      <c r="L828" s="14" t="str">
        <f t="shared" si="1"/>
        <v>Não</v>
      </c>
      <c r="M828" s="11"/>
      <c r="N828" s="7"/>
      <c r="O828" s="7" t="s">
        <v>55</v>
      </c>
      <c r="P828" s="7"/>
      <c r="Q828" s="16" t="s">
        <v>57</v>
      </c>
      <c r="R828" s="16" t="s">
        <v>55</v>
      </c>
      <c r="S828" s="16" t="s">
        <v>55</v>
      </c>
      <c r="T828" s="16" t="s">
        <v>55</v>
      </c>
      <c r="U828" s="16" t="s">
        <v>57</v>
      </c>
      <c r="V828" s="16" t="s">
        <v>1440</v>
      </c>
      <c r="W828" s="16"/>
      <c r="X828" s="49"/>
      <c r="Y828" s="49"/>
      <c r="Z828" s="49"/>
    </row>
    <row r="829" ht="15.0" customHeight="1">
      <c r="A829" s="7" t="s">
        <v>3634</v>
      </c>
      <c r="B829" s="7" t="s">
        <v>3635</v>
      </c>
      <c r="C829" s="7" t="s">
        <v>3636</v>
      </c>
      <c r="D829" s="7" t="s">
        <v>146</v>
      </c>
      <c r="E829" s="7" t="s">
        <v>213</v>
      </c>
      <c r="F829" s="7" t="s">
        <v>71</v>
      </c>
      <c r="G829" s="11" t="s">
        <v>57</v>
      </c>
      <c r="H829" s="11" t="s">
        <v>55</v>
      </c>
      <c r="I829" s="11" t="s">
        <v>55</v>
      </c>
      <c r="J829" s="7" t="s">
        <v>55</v>
      </c>
      <c r="K829" s="7"/>
      <c r="L829" s="14" t="str">
        <f t="shared" si="1"/>
        <v>Não</v>
      </c>
      <c r="M829" s="11"/>
      <c r="N829" s="7"/>
      <c r="O829" s="7" t="s">
        <v>55</v>
      </c>
      <c r="P829" s="7"/>
      <c r="Q829" s="16" t="s">
        <v>57</v>
      </c>
      <c r="R829" s="16" t="s">
        <v>55</v>
      </c>
      <c r="S829" s="16" t="s">
        <v>55</v>
      </c>
      <c r="T829" s="16" t="s">
        <v>55</v>
      </c>
      <c r="U829" s="16" t="s">
        <v>57</v>
      </c>
      <c r="V829" s="16" t="s">
        <v>225</v>
      </c>
      <c r="W829" s="16"/>
      <c r="X829" s="49"/>
      <c r="Y829" s="49"/>
      <c r="Z829" s="49"/>
    </row>
    <row r="830" ht="15.0" customHeight="1">
      <c r="A830" s="7" t="s">
        <v>3637</v>
      </c>
      <c r="B830" s="7" t="s">
        <v>3638</v>
      </c>
      <c r="C830" s="7" t="s">
        <v>3639</v>
      </c>
      <c r="D830" s="7" t="s">
        <v>146</v>
      </c>
      <c r="E830" s="7" t="s">
        <v>306</v>
      </c>
      <c r="F830" s="7" t="s">
        <v>71</v>
      </c>
      <c r="G830" s="11" t="s">
        <v>57</v>
      </c>
      <c r="H830" s="11" t="s">
        <v>55</v>
      </c>
      <c r="I830" s="11" t="s">
        <v>55</v>
      </c>
      <c r="J830" s="7" t="s">
        <v>55</v>
      </c>
      <c r="K830" s="7"/>
      <c r="L830" s="14" t="str">
        <f t="shared" si="1"/>
        <v>Não</v>
      </c>
      <c r="M830" s="11"/>
      <c r="N830" s="7"/>
      <c r="O830" s="7" t="s">
        <v>55</v>
      </c>
      <c r="P830" s="7"/>
      <c r="Q830" s="16" t="s">
        <v>57</v>
      </c>
      <c r="R830" s="16" t="s">
        <v>55</v>
      </c>
      <c r="S830" s="16" t="s">
        <v>55</v>
      </c>
      <c r="T830" s="16" t="s">
        <v>55</v>
      </c>
      <c r="U830" s="16" t="s">
        <v>57</v>
      </c>
      <c r="V830" s="16" t="s">
        <v>225</v>
      </c>
      <c r="W830" s="16"/>
      <c r="X830" s="49"/>
      <c r="Y830" s="49"/>
      <c r="Z830" s="49"/>
    </row>
    <row r="831" ht="30.0" customHeight="1">
      <c r="A831" s="7" t="s">
        <v>3640</v>
      </c>
      <c r="B831" s="7" t="s">
        <v>2112</v>
      </c>
      <c r="C831" s="7" t="s">
        <v>3641</v>
      </c>
      <c r="D831" s="7" t="s">
        <v>146</v>
      </c>
      <c r="E831" s="7" t="s">
        <v>136</v>
      </c>
      <c r="F831" s="7" t="s">
        <v>71</v>
      </c>
      <c r="G831" s="11" t="s">
        <v>55</v>
      </c>
      <c r="H831" s="11" t="s">
        <v>55</v>
      </c>
      <c r="I831" s="11" t="s">
        <v>55</v>
      </c>
      <c r="J831" s="7" t="s">
        <v>55</v>
      </c>
      <c r="K831" s="11" t="s">
        <v>3642</v>
      </c>
      <c r="L831" s="14" t="str">
        <f t="shared" si="1"/>
        <v>Não</v>
      </c>
      <c r="M831" s="7"/>
      <c r="N831" s="7"/>
      <c r="O831" s="7" t="s">
        <v>55</v>
      </c>
      <c r="P831" s="7"/>
      <c r="Q831" s="16" t="s">
        <v>55</v>
      </c>
      <c r="R831" s="16" t="s">
        <v>55</v>
      </c>
      <c r="S831" s="16" t="s">
        <v>55</v>
      </c>
      <c r="T831" s="16" t="s">
        <v>55</v>
      </c>
      <c r="U831" s="16" t="s">
        <v>55</v>
      </c>
      <c r="V831" s="16" t="s">
        <v>127</v>
      </c>
      <c r="W831" s="16" t="s">
        <v>3643</v>
      </c>
      <c r="X831" s="49"/>
      <c r="Y831" s="49"/>
      <c r="Z831" s="49"/>
    </row>
    <row r="832" ht="15.0" customHeight="1">
      <c r="A832" s="7" t="s">
        <v>3644</v>
      </c>
      <c r="B832" s="7" t="s">
        <v>3645</v>
      </c>
      <c r="C832" s="7" t="s">
        <v>3646</v>
      </c>
      <c r="D832" s="7" t="s">
        <v>146</v>
      </c>
      <c r="E832" s="7" t="s">
        <v>194</v>
      </c>
      <c r="F832" s="7" t="s">
        <v>71</v>
      </c>
      <c r="G832" s="11" t="s">
        <v>55</v>
      </c>
      <c r="H832" s="11" t="s">
        <v>55</v>
      </c>
      <c r="I832" s="11" t="s">
        <v>55</v>
      </c>
      <c r="J832" s="7" t="s">
        <v>55</v>
      </c>
      <c r="K832" s="7"/>
      <c r="L832" s="14" t="str">
        <f t="shared" si="1"/>
        <v>Sim</v>
      </c>
      <c r="M832" s="11"/>
      <c r="N832" s="7"/>
      <c r="O832" s="7" t="s">
        <v>55</v>
      </c>
      <c r="P832" s="7"/>
      <c r="Q832" s="16" t="s">
        <v>57</v>
      </c>
      <c r="R832" s="16" t="s">
        <v>55</v>
      </c>
      <c r="S832" s="16" t="s">
        <v>55</v>
      </c>
      <c r="T832" s="16" t="s">
        <v>55</v>
      </c>
      <c r="U832" s="16" t="s">
        <v>57</v>
      </c>
      <c r="V832" s="16" t="s">
        <v>225</v>
      </c>
      <c r="W832" s="16"/>
      <c r="X832" s="49"/>
      <c r="Y832" s="49"/>
      <c r="Z832" s="49"/>
    </row>
    <row r="833" ht="15.0" customHeight="1">
      <c r="A833" s="7"/>
      <c r="B833" s="7"/>
      <c r="C833" s="7"/>
      <c r="D833" s="7"/>
      <c r="E833" s="7"/>
      <c r="F833" s="7"/>
      <c r="G833" s="7"/>
      <c r="H833" s="7"/>
      <c r="I833" s="7"/>
      <c r="J833" s="7"/>
      <c r="K833" s="7"/>
      <c r="L833" s="14" t="str">
        <f t="shared" si="1"/>
        <v/>
      </c>
      <c r="M833" s="7"/>
      <c r="N833" s="7"/>
      <c r="O833" s="7"/>
      <c r="P833" s="7"/>
      <c r="Q833" s="6"/>
      <c r="R833" s="6"/>
      <c r="S833" s="6"/>
      <c r="T833" s="6"/>
      <c r="U833" s="6"/>
      <c r="V833" s="6"/>
      <c r="W833" s="6"/>
      <c r="X833" s="6"/>
      <c r="Y833" s="6"/>
      <c r="Z833" s="6"/>
    </row>
    <row r="834" ht="15.0" customHeight="1">
      <c r="A834" s="7"/>
      <c r="B834" s="7"/>
      <c r="C834" s="7"/>
      <c r="D834" s="7"/>
      <c r="E834" s="7"/>
      <c r="F834" s="7"/>
      <c r="G834" s="7"/>
      <c r="H834" s="7"/>
      <c r="I834" s="7"/>
      <c r="J834" s="7"/>
      <c r="K834" s="7"/>
      <c r="L834" s="14" t="str">
        <f t="shared" si="1"/>
        <v/>
      </c>
      <c r="M834" s="7"/>
      <c r="N834" s="7"/>
      <c r="O834" s="7"/>
      <c r="P834" s="7"/>
      <c r="Q834" s="6"/>
      <c r="R834" s="6"/>
      <c r="S834" s="6"/>
      <c r="T834" s="6"/>
      <c r="U834" s="6"/>
      <c r="V834" s="6"/>
      <c r="W834" s="6"/>
      <c r="X834" s="6"/>
      <c r="Y834" s="6"/>
      <c r="Z834" s="6"/>
    </row>
    <row r="835" ht="15.0" customHeight="1">
      <c r="A835" s="7"/>
      <c r="B835" s="7"/>
      <c r="C835" s="7"/>
      <c r="D835" s="7"/>
      <c r="E835" s="7"/>
      <c r="F835" s="7"/>
      <c r="G835" s="7"/>
      <c r="H835" s="7"/>
      <c r="I835" s="7"/>
      <c r="J835" s="7"/>
      <c r="K835" s="7"/>
      <c r="L835" s="14" t="str">
        <f t="shared" si="1"/>
        <v/>
      </c>
      <c r="M835" s="7"/>
      <c r="N835" s="7"/>
      <c r="O835" s="7"/>
      <c r="P835" s="7"/>
      <c r="Q835" s="6"/>
      <c r="R835" s="6"/>
      <c r="S835" s="6"/>
      <c r="T835" s="6"/>
      <c r="U835" s="6"/>
      <c r="V835" s="6"/>
      <c r="W835" s="6"/>
      <c r="X835" s="6"/>
      <c r="Y835" s="6"/>
      <c r="Z835" s="6"/>
    </row>
    <row r="836" ht="15.0" customHeight="1">
      <c r="A836" s="7"/>
      <c r="B836" s="7"/>
      <c r="C836" s="7"/>
      <c r="D836" s="7"/>
      <c r="E836" s="7"/>
      <c r="F836" s="7"/>
      <c r="G836" s="7"/>
      <c r="H836" s="7"/>
      <c r="I836" s="7"/>
      <c r="J836" s="7"/>
      <c r="K836" s="7"/>
      <c r="L836" s="14" t="str">
        <f t="shared" si="1"/>
        <v/>
      </c>
      <c r="M836" s="7"/>
      <c r="N836" s="7"/>
      <c r="O836" s="7"/>
      <c r="P836" s="7"/>
      <c r="Q836" s="6"/>
      <c r="R836" s="6"/>
      <c r="S836" s="6"/>
      <c r="T836" s="6"/>
      <c r="U836" s="6"/>
      <c r="V836" s="6"/>
      <c r="W836" s="6"/>
      <c r="X836" s="6"/>
      <c r="Y836" s="6"/>
      <c r="Z836" s="6"/>
    </row>
    <row r="837" ht="15.0" customHeight="1">
      <c r="A837" s="7"/>
      <c r="B837" s="7"/>
      <c r="C837" s="7"/>
      <c r="D837" s="7"/>
      <c r="E837" s="7"/>
      <c r="F837" s="7"/>
      <c r="G837" s="7"/>
      <c r="H837" s="7"/>
      <c r="I837" s="7"/>
      <c r="J837" s="7"/>
      <c r="K837" s="7"/>
      <c r="L837" s="14" t="str">
        <f t="shared" si="1"/>
        <v/>
      </c>
      <c r="M837" s="7"/>
      <c r="N837" s="7"/>
      <c r="O837" s="7"/>
      <c r="P837" s="7"/>
      <c r="Q837" s="6"/>
      <c r="R837" s="6"/>
      <c r="S837" s="6"/>
      <c r="T837" s="6"/>
      <c r="U837" s="6"/>
      <c r="V837" s="6"/>
      <c r="W837" s="6"/>
      <c r="X837" s="6"/>
      <c r="Y837" s="6"/>
      <c r="Z837" s="6"/>
    </row>
    <row r="838" ht="15.0" customHeight="1">
      <c r="A838" s="7"/>
      <c r="B838" s="7"/>
      <c r="C838" s="7"/>
      <c r="D838" s="7"/>
      <c r="E838" s="7"/>
      <c r="F838" s="7"/>
      <c r="G838" s="7"/>
      <c r="H838" s="7"/>
      <c r="I838" s="7"/>
      <c r="J838" s="7"/>
      <c r="K838" s="7"/>
      <c r="L838" s="14" t="str">
        <f t="shared" si="1"/>
        <v/>
      </c>
      <c r="M838" s="7"/>
      <c r="N838" s="7"/>
      <c r="O838" s="7"/>
      <c r="P838" s="7"/>
      <c r="Q838" s="6"/>
      <c r="R838" s="6"/>
      <c r="S838" s="6"/>
      <c r="T838" s="6"/>
      <c r="U838" s="6"/>
      <c r="V838" s="6"/>
      <c r="W838" s="6"/>
      <c r="X838" s="6"/>
      <c r="Y838" s="6"/>
      <c r="Z838" s="6"/>
    </row>
    <row r="839" ht="15.0" customHeight="1">
      <c r="A839" s="7"/>
      <c r="B839" s="7"/>
      <c r="C839" s="7"/>
      <c r="D839" s="7"/>
      <c r="E839" s="7"/>
      <c r="F839" s="7"/>
      <c r="G839" s="7"/>
      <c r="H839" s="7"/>
      <c r="I839" s="7"/>
      <c r="J839" s="7"/>
      <c r="K839" s="7"/>
      <c r="L839" s="14" t="str">
        <f t="shared" si="1"/>
        <v/>
      </c>
      <c r="M839" s="7"/>
      <c r="N839" s="7"/>
      <c r="O839" s="7"/>
      <c r="P839" s="7"/>
      <c r="Q839" s="6"/>
      <c r="R839" s="6"/>
      <c r="S839" s="6"/>
      <c r="T839" s="6"/>
      <c r="U839" s="6"/>
      <c r="V839" s="6"/>
      <c r="W839" s="6"/>
      <c r="X839" s="6"/>
      <c r="Y839" s="6"/>
      <c r="Z839" s="6"/>
    </row>
    <row r="840" ht="15.0" customHeight="1">
      <c r="A840" s="7"/>
      <c r="B840" s="7"/>
      <c r="C840" s="7"/>
      <c r="D840" s="7"/>
      <c r="E840" s="7"/>
      <c r="F840" s="7"/>
      <c r="G840" s="7"/>
      <c r="H840" s="7"/>
      <c r="I840" s="7"/>
      <c r="J840" s="7"/>
      <c r="K840" s="7"/>
      <c r="L840" s="14" t="str">
        <f t="shared" si="1"/>
        <v/>
      </c>
      <c r="M840" s="7"/>
      <c r="N840" s="7"/>
      <c r="O840" s="7"/>
      <c r="P840" s="7"/>
      <c r="Q840" s="6"/>
      <c r="R840" s="6"/>
      <c r="S840" s="6"/>
      <c r="T840" s="6"/>
      <c r="U840" s="6"/>
      <c r="V840" s="6"/>
      <c r="W840" s="6"/>
      <c r="X840" s="6"/>
      <c r="Y840" s="6"/>
      <c r="Z840" s="6"/>
    </row>
    <row r="841" ht="15.0" customHeight="1">
      <c r="A841" s="7"/>
      <c r="B841" s="7"/>
      <c r="C841" s="7"/>
      <c r="D841" s="7"/>
      <c r="E841" s="7"/>
      <c r="F841" s="7"/>
      <c r="G841" s="7"/>
      <c r="H841" s="7"/>
      <c r="I841" s="7"/>
      <c r="J841" s="7"/>
      <c r="K841" s="7"/>
      <c r="L841" s="14" t="str">
        <f t="shared" si="1"/>
        <v/>
      </c>
      <c r="M841" s="7"/>
      <c r="N841" s="7"/>
      <c r="O841" s="7"/>
      <c r="P841" s="7"/>
      <c r="Q841" s="6"/>
      <c r="R841" s="6"/>
      <c r="S841" s="6"/>
      <c r="T841" s="6"/>
      <c r="U841" s="6"/>
      <c r="V841" s="6"/>
      <c r="W841" s="6"/>
      <c r="X841" s="6"/>
      <c r="Y841" s="6"/>
      <c r="Z841" s="6"/>
    </row>
    <row r="842" ht="15.0" customHeight="1">
      <c r="A842" s="7"/>
      <c r="B842" s="7"/>
      <c r="C842" s="7"/>
      <c r="D842" s="7"/>
      <c r="E842" s="7"/>
      <c r="F842" s="7"/>
      <c r="G842" s="7"/>
      <c r="H842" s="7"/>
      <c r="I842" s="7"/>
      <c r="J842" s="7"/>
      <c r="K842" s="7"/>
      <c r="L842" s="14" t="str">
        <f t="shared" si="1"/>
        <v/>
      </c>
      <c r="M842" s="7"/>
      <c r="N842" s="7"/>
      <c r="O842" s="7"/>
      <c r="P842" s="7"/>
      <c r="Q842" s="6"/>
      <c r="R842" s="6"/>
      <c r="S842" s="6"/>
      <c r="T842" s="6"/>
      <c r="U842" s="6"/>
      <c r="V842" s="6"/>
      <c r="W842" s="6"/>
      <c r="X842" s="6"/>
      <c r="Y842" s="6"/>
      <c r="Z842" s="6"/>
    </row>
    <row r="843" ht="15.0" customHeight="1">
      <c r="A843" s="7"/>
      <c r="B843" s="7"/>
      <c r="C843" s="7"/>
      <c r="D843" s="7"/>
      <c r="E843" s="7"/>
      <c r="F843" s="7"/>
      <c r="G843" s="7"/>
      <c r="H843" s="7"/>
      <c r="I843" s="7"/>
      <c r="J843" s="7"/>
      <c r="K843" s="7"/>
      <c r="L843" s="14" t="str">
        <f t="shared" si="1"/>
        <v/>
      </c>
      <c r="M843" s="7"/>
      <c r="N843" s="7"/>
      <c r="O843" s="7"/>
      <c r="P843" s="7"/>
      <c r="Q843" s="6"/>
      <c r="R843" s="6"/>
      <c r="S843" s="6"/>
      <c r="T843" s="6"/>
      <c r="U843" s="6"/>
      <c r="V843" s="6"/>
      <c r="W843" s="6"/>
      <c r="X843" s="6"/>
      <c r="Y843" s="6"/>
      <c r="Z843" s="6"/>
    </row>
    <row r="844" ht="15.0" customHeight="1">
      <c r="A844" s="7"/>
      <c r="B844" s="7"/>
      <c r="C844" s="7"/>
      <c r="D844" s="7"/>
      <c r="E844" s="7"/>
      <c r="F844" s="7"/>
      <c r="G844" s="7"/>
      <c r="H844" s="7"/>
      <c r="I844" s="7"/>
      <c r="J844" s="7"/>
      <c r="K844" s="7"/>
      <c r="L844" s="14" t="str">
        <f t="shared" si="1"/>
        <v/>
      </c>
      <c r="M844" s="7"/>
      <c r="N844" s="7"/>
      <c r="O844" s="7"/>
      <c r="P844" s="7"/>
      <c r="Q844" s="6"/>
      <c r="R844" s="6"/>
      <c r="S844" s="6"/>
      <c r="T844" s="6"/>
      <c r="U844" s="6"/>
      <c r="V844" s="6"/>
      <c r="W844" s="6"/>
      <c r="X844" s="6"/>
      <c r="Y844" s="6"/>
      <c r="Z844" s="6"/>
    </row>
    <row r="845" ht="15.0" customHeight="1">
      <c r="A845" s="7"/>
      <c r="B845" s="7"/>
      <c r="C845" s="7"/>
      <c r="D845" s="7"/>
      <c r="E845" s="7"/>
      <c r="F845" s="7"/>
      <c r="G845" s="7"/>
      <c r="H845" s="7"/>
      <c r="I845" s="7"/>
      <c r="J845" s="7"/>
      <c r="K845" s="7"/>
      <c r="L845" s="14" t="str">
        <f t="shared" si="1"/>
        <v/>
      </c>
      <c r="M845" s="7"/>
      <c r="N845" s="7"/>
      <c r="O845" s="7"/>
      <c r="P845" s="7"/>
      <c r="Q845" s="6"/>
      <c r="R845" s="6"/>
      <c r="S845" s="6"/>
      <c r="T845" s="6"/>
      <c r="U845" s="6"/>
      <c r="V845" s="6"/>
      <c r="W845" s="6"/>
      <c r="X845" s="6"/>
      <c r="Y845" s="6"/>
      <c r="Z845" s="6"/>
    </row>
    <row r="846" ht="15.0" customHeight="1">
      <c r="A846" s="7"/>
      <c r="B846" s="7"/>
      <c r="C846" s="7"/>
      <c r="D846" s="7"/>
      <c r="E846" s="7"/>
      <c r="F846" s="7"/>
      <c r="G846" s="7"/>
      <c r="H846" s="7"/>
      <c r="I846" s="7"/>
      <c r="J846" s="7"/>
      <c r="K846" s="7"/>
      <c r="L846" s="14" t="str">
        <f t="shared" si="1"/>
        <v/>
      </c>
      <c r="M846" s="7"/>
      <c r="N846" s="7"/>
      <c r="O846" s="7"/>
      <c r="P846" s="7"/>
      <c r="Q846" s="6"/>
      <c r="R846" s="6"/>
      <c r="S846" s="6"/>
      <c r="T846" s="6"/>
      <c r="U846" s="6"/>
      <c r="V846" s="6"/>
      <c r="W846" s="6"/>
      <c r="X846" s="6"/>
      <c r="Y846" s="6"/>
      <c r="Z846" s="6"/>
    </row>
    <row r="847" ht="15.0" customHeight="1">
      <c r="A847" s="7"/>
      <c r="B847" s="7"/>
      <c r="C847" s="7"/>
      <c r="D847" s="7"/>
      <c r="E847" s="7"/>
      <c r="F847" s="7"/>
      <c r="G847" s="7"/>
      <c r="H847" s="7"/>
      <c r="I847" s="7"/>
      <c r="J847" s="7"/>
      <c r="K847" s="7"/>
      <c r="L847" s="14" t="str">
        <f t="shared" si="1"/>
        <v/>
      </c>
      <c r="M847" s="7"/>
      <c r="N847" s="7"/>
      <c r="O847" s="7"/>
      <c r="P847" s="7"/>
      <c r="Q847" s="6"/>
      <c r="R847" s="6"/>
      <c r="S847" s="6"/>
      <c r="T847" s="6"/>
      <c r="U847" s="6"/>
      <c r="V847" s="6"/>
      <c r="W847" s="6"/>
      <c r="X847" s="6"/>
      <c r="Y847" s="6"/>
      <c r="Z847" s="6"/>
    </row>
    <row r="848" ht="15.0" customHeight="1">
      <c r="A848" s="7"/>
      <c r="B848" s="7"/>
      <c r="C848" s="7"/>
      <c r="D848" s="7"/>
      <c r="E848" s="7"/>
      <c r="F848" s="7"/>
      <c r="G848" s="7"/>
      <c r="H848" s="7"/>
      <c r="I848" s="7"/>
      <c r="J848" s="7"/>
      <c r="K848" s="7"/>
      <c r="L848" s="14" t="str">
        <f t="shared" si="1"/>
        <v/>
      </c>
      <c r="M848" s="7"/>
      <c r="N848" s="7"/>
      <c r="O848" s="7"/>
      <c r="P848" s="7"/>
      <c r="Q848" s="6"/>
      <c r="R848" s="6"/>
      <c r="S848" s="6"/>
      <c r="T848" s="6"/>
      <c r="U848" s="6"/>
      <c r="V848" s="6"/>
      <c r="W848" s="6"/>
      <c r="X848" s="6"/>
      <c r="Y848" s="6"/>
      <c r="Z848" s="6"/>
    </row>
    <row r="849" ht="15.0" customHeight="1">
      <c r="A849" s="7"/>
      <c r="B849" s="7"/>
      <c r="C849" s="7"/>
      <c r="D849" s="7"/>
      <c r="E849" s="7"/>
      <c r="F849" s="7"/>
      <c r="G849" s="7"/>
      <c r="H849" s="7"/>
      <c r="I849" s="7"/>
      <c r="J849" s="7"/>
      <c r="K849" s="7"/>
      <c r="L849" s="14" t="str">
        <f t="shared" si="1"/>
        <v/>
      </c>
      <c r="M849" s="7"/>
      <c r="N849" s="7"/>
      <c r="O849" s="7"/>
      <c r="P849" s="7"/>
      <c r="Q849" s="6"/>
      <c r="R849" s="6"/>
      <c r="S849" s="6"/>
      <c r="T849" s="6"/>
      <c r="U849" s="6"/>
      <c r="V849" s="6"/>
      <c r="W849" s="6"/>
      <c r="X849" s="6"/>
      <c r="Y849" s="6"/>
      <c r="Z849" s="6"/>
    </row>
    <row r="850" ht="15.0" customHeight="1">
      <c r="A850" s="7"/>
      <c r="B850" s="7"/>
      <c r="C850" s="7"/>
      <c r="D850" s="7"/>
      <c r="E850" s="7"/>
      <c r="F850" s="7"/>
      <c r="G850" s="7"/>
      <c r="H850" s="7"/>
      <c r="I850" s="7"/>
      <c r="J850" s="7"/>
      <c r="K850" s="7"/>
      <c r="L850" s="14" t="str">
        <f t="shared" si="1"/>
        <v/>
      </c>
      <c r="M850" s="7"/>
      <c r="N850" s="7"/>
      <c r="O850" s="7"/>
      <c r="P850" s="7"/>
      <c r="Q850" s="6"/>
      <c r="R850" s="6"/>
      <c r="S850" s="6"/>
      <c r="T850" s="6"/>
      <c r="U850" s="6"/>
      <c r="V850" s="6"/>
      <c r="W850" s="6"/>
      <c r="X850" s="6"/>
      <c r="Y850" s="6"/>
      <c r="Z850" s="6"/>
    </row>
    <row r="851" ht="15.0" customHeight="1">
      <c r="A851" s="7"/>
      <c r="B851" s="7"/>
      <c r="C851" s="7"/>
      <c r="D851" s="7"/>
      <c r="E851" s="7"/>
      <c r="F851" s="7"/>
      <c r="G851" s="7"/>
      <c r="H851" s="7"/>
      <c r="I851" s="7"/>
      <c r="J851" s="7"/>
      <c r="K851" s="7"/>
      <c r="L851" s="14" t="str">
        <f t="shared" si="1"/>
        <v/>
      </c>
      <c r="M851" s="7"/>
      <c r="N851" s="7"/>
      <c r="O851" s="7"/>
      <c r="P851" s="7"/>
      <c r="Q851" s="6"/>
      <c r="R851" s="6"/>
      <c r="S851" s="6"/>
      <c r="T851" s="6"/>
      <c r="U851" s="6"/>
      <c r="V851" s="6"/>
      <c r="W851" s="6"/>
      <c r="X851" s="6"/>
      <c r="Y851" s="6"/>
      <c r="Z851" s="6"/>
    </row>
    <row r="852" ht="15.0" customHeight="1">
      <c r="A852" s="7"/>
      <c r="B852" s="7"/>
      <c r="C852" s="7"/>
      <c r="D852" s="7"/>
      <c r="E852" s="7"/>
      <c r="F852" s="7"/>
      <c r="G852" s="7"/>
      <c r="H852" s="7"/>
      <c r="I852" s="7"/>
      <c r="J852" s="7"/>
      <c r="K852" s="7"/>
      <c r="L852" s="14" t="str">
        <f t="shared" si="1"/>
        <v/>
      </c>
      <c r="M852" s="7"/>
      <c r="N852" s="7"/>
      <c r="O852" s="7"/>
      <c r="P852" s="7"/>
      <c r="Q852" s="6"/>
      <c r="R852" s="6"/>
      <c r="S852" s="6"/>
      <c r="T852" s="6"/>
      <c r="U852" s="6"/>
      <c r="V852" s="6"/>
      <c r="W852" s="6"/>
      <c r="X852" s="6"/>
      <c r="Y852" s="6"/>
      <c r="Z852" s="6"/>
    </row>
    <row r="853" ht="15.0" customHeight="1">
      <c r="A853" s="7"/>
      <c r="B853" s="7"/>
      <c r="C853" s="7"/>
      <c r="D853" s="7"/>
      <c r="E853" s="7"/>
      <c r="F853" s="7"/>
      <c r="G853" s="7"/>
      <c r="H853" s="7"/>
      <c r="I853" s="7"/>
      <c r="J853" s="7"/>
      <c r="K853" s="7"/>
      <c r="L853" s="14" t="str">
        <f t="shared" si="1"/>
        <v/>
      </c>
      <c r="M853" s="7"/>
      <c r="N853" s="7"/>
      <c r="O853" s="7"/>
      <c r="P853" s="7"/>
      <c r="Q853" s="6"/>
      <c r="R853" s="6"/>
      <c r="S853" s="6"/>
      <c r="T853" s="6"/>
      <c r="U853" s="6"/>
      <c r="V853" s="6"/>
      <c r="W853" s="6"/>
      <c r="X853" s="6"/>
      <c r="Y853" s="6"/>
      <c r="Z853" s="6"/>
    </row>
    <row r="854" ht="15.0" customHeight="1">
      <c r="A854" s="7"/>
      <c r="B854" s="7"/>
      <c r="C854" s="7"/>
      <c r="D854" s="7"/>
      <c r="E854" s="7"/>
      <c r="F854" s="7"/>
      <c r="G854" s="7"/>
      <c r="H854" s="7"/>
      <c r="I854" s="7"/>
      <c r="J854" s="7"/>
      <c r="K854" s="7"/>
      <c r="L854" s="14" t="str">
        <f t="shared" si="1"/>
        <v/>
      </c>
      <c r="M854" s="7"/>
      <c r="N854" s="7"/>
      <c r="O854" s="7"/>
      <c r="P854" s="7"/>
      <c r="Q854" s="6"/>
      <c r="R854" s="6"/>
      <c r="S854" s="6"/>
      <c r="T854" s="6"/>
      <c r="U854" s="6"/>
      <c r="V854" s="6"/>
      <c r="W854" s="6"/>
      <c r="X854" s="6"/>
      <c r="Y854" s="6"/>
      <c r="Z854" s="6"/>
    </row>
    <row r="855" ht="15.0" customHeight="1">
      <c r="A855" s="7"/>
      <c r="B855" s="7"/>
      <c r="C855" s="7"/>
      <c r="D855" s="7"/>
      <c r="E855" s="7"/>
      <c r="F855" s="7"/>
      <c r="G855" s="7"/>
      <c r="H855" s="7"/>
      <c r="I855" s="7"/>
      <c r="J855" s="7"/>
      <c r="K855" s="7"/>
      <c r="L855" s="14" t="str">
        <f t="shared" si="1"/>
        <v/>
      </c>
      <c r="M855" s="7"/>
      <c r="N855" s="7"/>
      <c r="O855" s="7"/>
      <c r="P855" s="7"/>
      <c r="Q855" s="6"/>
      <c r="R855" s="6"/>
      <c r="S855" s="6"/>
      <c r="T855" s="6"/>
      <c r="U855" s="6"/>
      <c r="V855" s="6"/>
      <c r="W855" s="6"/>
      <c r="X855" s="6"/>
      <c r="Y855" s="6"/>
      <c r="Z855" s="6"/>
    </row>
    <row r="856" ht="15.0" customHeight="1">
      <c r="A856" s="7"/>
      <c r="B856" s="7"/>
      <c r="C856" s="7"/>
      <c r="D856" s="7"/>
      <c r="E856" s="7"/>
      <c r="F856" s="7"/>
      <c r="G856" s="7"/>
      <c r="H856" s="7"/>
      <c r="I856" s="7"/>
      <c r="J856" s="7"/>
      <c r="K856" s="7"/>
      <c r="L856" s="14" t="str">
        <f t="shared" si="1"/>
        <v/>
      </c>
      <c r="M856" s="7"/>
      <c r="N856" s="7"/>
      <c r="O856" s="7"/>
      <c r="P856" s="7"/>
      <c r="Q856" s="6"/>
      <c r="R856" s="6"/>
      <c r="S856" s="6"/>
      <c r="T856" s="6"/>
      <c r="U856" s="6"/>
      <c r="V856" s="6"/>
      <c r="W856" s="6"/>
      <c r="X856" s="6"/>
      <c r="Y856" s="6"/>
      <c r="Z856" s="6"/>
    </row>
    <row r="857" ht="15.0" customHeight="1">
      <c r="A857" s="7"/>
      <c r="B857" s="7"/>
      <c r="C857" s="7"/>
      <c r="D857" s="7"/>
      <c r="E857" s="7"/>
      <c r="F857" s="7"/>
      <c r="G857" s="7"/>
      <c r="H857" s="7"/>
      <c r="I857" s="7"/>
      <c r="J857" s="7"/>
      <c r="K857" s="7"/>
      <c r="L857" s="14" t="str">
        <f t="shared" si="1"/>
        <v/>
      </c>
      <c r="M857" s="7"/>
      <c r="N857" s="7"/>
      <c r="O857" s="7"/>
      <c r="P857" s="7"/>
      <c r="Q857" s="6"/>
      <c r="R857" s="6"/>
      <c r="S857" s="6"/>
      <c r="T857" s="6"/>
      <c r="U857" s="6"/>
      <c r="V857" s="6"/>
      <c r="W857" s="6"/>
      <c r="X857" s="6"/>
      <c r="Y857" s="6"/>
      <c r="Z857" s="6"/>
    </row>
    <row r="858" ht="15.0" customHeight="1">
      <c r="A858" s="7"/>
      <c r="B858" s="7"/>
      <c r="C858" s="7"/>
      <c r="D858" s="7"/>
      <c r="E858" s="7"/>
      <c r="F858" s="7"/>
      <c r="G858" s="7"/>
      <c r="H858" s="7"/>
      <c r="I858" s="7"/>
      <c r="J858" s="7"/>
      <c r="K858" s="7"/>
      <c r="L858" s="14" t="str">
        <f t="shared" si="1"/>
        <v/>
      </c>
      <c r="M858" s="7"/>
      <c r="N858" s="7"/>
      <c r="O858" s="7"/>
      <c r="P858" s="7"/>
      <c r="Q858" s="6"/>
      <c r="R858" s="6"/>
      <c r="S858" s="6"/>
      <c r="T858" s="6"/>
      <c r="U858" s="6"/>
      <c r="V858" s="6"/>
      <c r="W858" s="6"/>
      <c r="X858" s="6"/>
      <c r="Y858" s="6"/>
      <c r="Z858" s="6"/>
    </row>
    <row r="859" ht="15.0" customHeight="1">
      <c r="A859" s="7"/>
      <c r="B859" s="7"/>
      <c r="C859" s="7"/>
      <c r="D859" s="7"/>
      <c r="E859" s="7"/>
      <c r="F859" s="7"/>
      <c r="G859" s="7"/>
      <c r="H859" s="7"/>
      <c r="I859" s="7"/>
      <c r="J859" s="7"/>
      <c r="K859" s="7"/>
      <c r="L859" s="14" t="str">
        <f t="shared" si="1"/>
        <v/>
      </c>
      <c r="M859" s="7"/>
      <c r="N859" s="7"/>
      <c r="O859" s="7"/>
      <c r="P859" s="7"/>
      <c r="Q859" s="6"/>
      <c r="R859" s="6"/>
      <c r="S859" s="6"/>
      <c r="T859" s="6"/>
      <c r="U859" s="6"/>
      <c r="V859" s="6"/>
      <c r="W859" s="6"/>
      <c r="X859" s="6"/>
      <c r="Y859" s="6"/>
      <c r="Z859" s="6"/>
    </row>
    <row r="860" ht="15.0" customHeight="1">
      <c r="A860" s="7"/>
      <c r="B860" s="7"/>
      <c r="C860" s="7"/>
      <c r="D860" s="7"/>
      <c r="E860" s="7"/>
      <c r="F860" s="7"/>
      <c r="G860" s="7"/>
      <c r="H860" s="7"/>
      <c r="I860" s="7"/>
      <c r="J860" s="7"/>
      <c r="K860" s="7"/>
      <c r="L860" s="14" t="str">
        <f t="shared" si="1"/>
        <v/>
      </c>
      <c r="M860" s="7"/>
      <c r="N860" s="7"/>
      <c r="O860" s="7"/>
      <c r="P860" s="7"/>
      <c r="Q860" s="6"/>
      <c r="R860" s="6"/>
      <c r="S860" s="6"/>
      <c r="T860" s="6"/>
      <c r="U860" s="6"/>
      <c r="V860" s="6"/>
      <c r="W860" s="6"/>
      <c r="X860" s="6"/>
      <c r="Y860" s="6"/>
      <c r="Z860" s="6"/>
    </row>
    <row r="861" ht="15.0" customHeight="1">
      <c r="A861" s="7"/>
      <c r="B861" s="7"/>
      <c r="C861" s="7"/>
      <c r="D861" s="7"/>
      <c r="E861" s="7"/>
      <c r="F861" s="7"/>
      <c r="G861" s="7"/>
      <c r="H861" s="7"/>
      <c r="I861" s="7"/>
      <c r="J861" s="7"/>
      <c r="K861" s="7"/>
      <c r="L861" s="14" t="str">
        <f t="shared" si="1"/>
        <v/>
      </c>
      <c r="M861" s="7"/>
      <c r="N861" s="7"/>
      <c r="O861" s="7"/>
      <c r="P861" s="7"/>
      <c r="Q861" s="6"/>
      <c r="R861" s="6"/>
      <c r="S861" s="6"/>
      <c r="T861" s="6"/>
      <c r="U861" s="6"/>
      <c r="V861" s="6"/>
      <c r="W861" s="6"/>
      <c r="X861" s="6"/>
      <c r="Y861" s="6"/>
      <c r="Z861" s="6"/>
    </row>
    <row r="862" ht="15.0" customHeight="1">
      <c r="A862" s="7"/>
      <c r="B862" s="7"/>
      <c r="C862" s="7"/>
      <c r="D862" s="7"/>
      <c r="E862" s="7"/>
      <c r="F862" s="7"/>
      <c r="G862" s="7"/>
      <c r="H862" s="7"/>
      <c r="I862" s="7"/>
      <c r="J862" s="7"/>
      <c r="K862" s="7"/>
      <c r="L862" s="14" t="str">
        <f t="shared" si="1"/>
        <v/>
      </c>
      <c r="M862" s="7"/>
      <c r="N862" s="7"/>
      <c r="O862" s="7"/>
      <c r="P862" s="7"/>
      <c r="Q862" s="6"/>
      <c r="R862" s="6"/>
      <c r="S862" s="6"/>
      <c r="T862" s="6"/>
      <c r="U862" s="6"/>
      <c r="V862" s="6"/>
      <c r="W862" s="6"/>
      <c r="X862" s="6"/>
      <c r="Y862" s="6"/>
      <c r="Z862" s="6"/>
    </row>
    <row r="863" ht="15.0" customHeight="1">
      <c r="A863" s="7"/>
      <c r="B863" s="7"/>
      <c r="C863" s="7"/>
      <c r="D863" s="7"/>
      <c r="E863" s="7"/>
      <c r="F863" s="7"/>
      <c r="G863" s="7"/>
      <c r="H863" s="7"/>
      <c r="I863" s="7"/>
      <c r="J863" s="7"/>
      <c r="K863" s="7"/>
      <c r="L863" s="14" t="str">
        <f t="shared" si="1"/>
        <v/>
      </c>
      <c r="M863" s="7"/>
      <c r="N863" s="7"/>
      <c r="O863" s="7"/>
      <c r="P863" s="7"/>
      <c r="Q863" s="6"/>
      <c r="R863" s="6"/>
      <c r="S863" s="6"/>
      <c r="T863" s="6"/>
      <c r="U863" s="6"/>
      <c r="V863" s="6"/>
      <c r="W863" s="6"/>
      <c r="X863" s="6"/>
      <c r="Y863" s="6"/>
      <c r="Z863" s="6"/>
    </row>
    <row r="864" ht="15.0" customHeight="1">
      <c r="A864" s="7"/>
      <c r="B864" s="7"/>
      <c r="C864" s="7"/>
      <c r="D864" s="7"/>
      <c r="E864" s="7"/>
      <c r="F864" s="7"/>
      <c r="G864" s="7"/>
      <c r="H864" s="7"/>
      <c r="I864" s="7"/>
      <c r="J864" s="7"/>
      <c r="K864" s="7"/>
      <c r="L864" s="14" t="str">
        <f t="shared" si="1"/>
        <v/>
      </c>
      <c r="M864" s="7"/>
      <c r="N864" s="7"/>
      <c r="O864" s="7"/>
      <c r="P864" s="7"/>
      <c r="Q864" s="6"/>
      <c r="R864" s="6"/>
      <c r="S864" s="6"/>
      <c r="T864" s="6"/>
      <c r="U864" s="6"/>
      <c r="V864" s="6"/>
      <c r="W864" s="6"/>
      <c r="X864" s="6"/>
      <c r="Y864" s="6"/>
      <c r="Z864" s="6"/>
    </row>
    <row r="865" ht="15.0" customHeight="1">
      <c r="A865" s="7"/>
      <c r="B865" s="7"/>
      <c r="C865" s="7"/>
      <c r="D865" s="7"/>
      <c r="E865" s="7"/>
      <c r="F865" s="7"/>
      <c r="G865" s="7"/>
      <c r="H865" s="7"/>
      <c r="I865" s="7"/>
      <c r="J865" s="7"/>
      <c r="K865" s="7"/>
      <c r="L865" s="14" t="str">
        <f t="shared" si="1"/>
        <v/>
      </c>
      <c r="M865" s="7"/>
      <c r="N865" s="7"/>
      <c r="O865" s="7"/>
      <c r="P865" s="7"/>
      <c r="Q865" s="6"/>
      <c r="R865" s="6"/>
      <c r="S865" s="6"/>
      <c r="T865" s="6"/>
      <c r="U865" s="6"/>
      <c r="V865" s="6"/>
      <c r="W865" s="6"/>
      <c r="X865" s="6"/>
      <c r="Y865" s="6"/>
      <c r="Z865" s="6"/>
    </row>
    <row r="866" ht="15.0" customHeight="1">
      <c r="A866" s="7"/>
      <c r="B866" s="7"/>
      <c r="C866" s="7"/>
      <c r="D866" s="7"/>
      <c r="E866" s="7"/>
      <c r="F866" s="7"/>
      <c r="G866" s="7"/>
      <c r="H866" s="7"/>
      <c r="I866" s="7"/>
      <c r="J866" s="7"/>
      <c r="K866" s="7"/>
      <c r="L866" s="14" t="str">
        <f t="shared" si="1"/>
        <v/>
      </c>
      <c r="M866" s="7"/>
      <c r="N866" s="7"/>
      <c r="O866" s="7"/>
      <c r="P866" s="7"/>
      <c r="Q866" s="6"/>
      <c r="R866" s="6"/>
      <c r="S866" s="6"/>
      <c r="T866" s="6"/>
      <c r="U866" s="6"/>
      <c r="V866" s="6"/>
      <c r="W866" s="6"/>
      <c r="X866" s="6"/>
      <c r="Y866" s="6"/>
      <c r="Z866" s="6"/>
    </row>
    <row r="867" ht="15.0" customHeight="1">
      <c r="A867" s="7"/>
      <c r="B867" s="7"/>
      <c r="C867" s="7"/>
      <c r="D867" s="7"/>
      <c r="E867" s="7"/>
      <c r="F867" s="7"/>
      <c r="G867" s="7"/>
      <c r="H867" s="7"/>
      <c r="I867" s="7"/>
      <c r="J867" s="7"/>
      <c r="K867" s="7"/>
      <c r="L867" s="14" t="str">
        <f t="shared" si="1"/>
        <v/>
      </c>
      <c r="M867" s="7"/>
      <c r="N867" s="7"/>
      <c r="O867" s="7"/>
      <c r="P867" s="7"/>
      <c r="Q867" s="6"/>
      <c r="R867" s="6"/>
      <c r="S867" s="6"/>
      <c r="T867" s="6"/>
      <c r="U867" s="6"/>
      <c r="V867" s="6"/>
      <c r="W867" s="6"/>
      <c r="X867" s="6"/>
      <c r="Y867" s="6"/>
      <c r="Z867" s="6"/>
    </row>
    <row r="868" ht="15.0" customHeight="1">
      <c r="A868" s="7"/>
      <c r="B868" s="7"/>
      <c r="C868" s="7"/>
      <c r="D868" s="7"/>
      <c r="E868" s="7"/>
      <c r="F868" s="7"/>
      <c r="G868" s="7"/>
      <c r="H868" s="7"/>
      <c r="I868" s="7"/>
      <c r="J868" s="7"/>
      <c r="K868" s="7"/>
      <c r="L868" s="14" t="str">
        <f t="shared" si="1"/>
        <v/>
      </c>
      <c r="M868" s="7"/>
      <c r="N868" s="7"/>
      <c r="O868" s="7"/>
      <c r="P868" s="7"/>
      <c r="Q868" s="6"/>
      <c r="R868" s="6"/>
      <c r="S868" s="6"/>
      <c r="T868" s="6"/>
      <c r="U868" s="6"/>
      <c r="V868" s="6"/>
      <c r="W868" s="6"/>
      <c r="X868" s="6"/>
      <c r="Y868" s="6"/>
      <c r="Z868" s="6"/>
    </row>
    <row r="869" ht="15.0" customHeight="1">
      <c r="A869" s="7"/>
      <c r="B869" s="7"/>
      <c r="C869" s="7"/>
      <c r="D869" s="7"/>
      <c r="E869" s="7"/>
      <c r="F869" s="7"/>
      <c r="G869" s="7"/>
      <c r="H869" s="7"/>
      <c r="I869" s="7"/>
      <c r="J869" s="7"/>
      <c r="K869" s="7"/>
      <c r="L869" s="14" t="str">
        <f t="shared" si="1"/>
        <v/>
      </c>
      <c r="M869" s="7"/>
      <c r="N869" s="7"/>
      <c r="O869" s="7"/>
      <c r="P869" s="7"/>
      <c r="Q869" s="6"/>
      <c r="R869" s="6"/>
      <c r="S869" s="6"/>
      <c r="T869" s="6"/>
      <c r="U869" s="6"/>
      <c r="V869" s="6"/>
      <c r="W869" s="6"/>
      <c r="X869" s="6"/>
      <c r="Y869" s="6"/>
      <c r="Z869" s="6"/>
    </row>
    <row r="870" ht="15.0" customHeight="1">
      <c r="A870" s="7"/>
      <c r="B870" s="7"/>
      <c r="C870" s="7"/>
      <c r="D870" s="7"/>
      <c r="E870" s="7"/>
      <c r="F870" s="7"/>
      <c r="G870" s="7"/>
      <c r="H870" s="7"/>
      <c r="I870" s="7"/>
      <c r="J870" s="7"/>
      <c r="K870" s="7"/>
      <c r="L870" s="14" t="str">
        <f t="shared" si="1"/>
        <v/>
      </c>
      <c r="M870" s="7"/>
      <c r="N870" s="7"/>
      <c r="O870" s="7"/>
      <c r="P870" s="7"/>
      <c r="Q870" s="6"/>
      <c r="R870" s="6"/>
      <c r="S870" s="6"/>
      <c r="T870" s="6"/>
      <c r="U870" s="6"/>
      <c r="V870" s="6"/>
      <c r="W870" s="6"/>
      <c r="X870" s="6"/>
      <c r="Y870" s="6"/>
      <c r="Z870" s="6"/>
    </row>
    <row r="871" ht="15.0" customHeight="1">
      <c r="A871" s="7"/>
      <c r="B871" s="7"/>
      <c r="C871" s="7"/>
      <c r="D871" s="7"/>
      <c r="E871" s="7"/>
      <c r="F871" s="7"/>
      <c r="G871" s="7"/>
      <c r="H871" s="7"/>
      <c r="I871" s="7"/>
      <c r="J871" s="7"/>
      <c r="K871" s="7"/>
      <c r="L871" s="14" t="str">
        <f t="shared" si="1"/>
        <v/>
      </c>
      <c r="M871" s="7"/>
      <c r="N871" s="7"/>
      <c r="O871" s="7"/>
      <c r="P871" s="7"/>
      <c r="Q871" s="6"/>
      <c r="R871" s="6"/>
      <c r="S871" s="6"/>
      <c r="T871" s="6"/>
      <c r="U871" s="6"/>
      <c r="V871" s="6"/>
      <c r="W871" s="6"/>
      <c r="X871" s="6"/>
      <c r="Y871" s="6"/>
      <c r="Z871" s="6"/>
    </row>
    <row r="872" ht="15.0" customHeight="1">
      <c r="A872" s="7"/>
      <c r="B872" s="7"/>
      <c r="C872" s="7"/>
      <c r="D872" s="7"/>
      <c r="E872" s="7"/>
      <c r="F872" s="7"/>
      <c r="G872" s="7"/>
      <c r="H872" s="7"/>
      <c r="I872" s="7"/>
      <c r="J872" s="7"/>
      <c r="K872" s="7"/>
      <c r="L872" s="14" t="str">
        <f t="shared" si="1"/>
        <v/>
      </c>
      <c r="M872" s="7"/>
      <c r="N872" s="7"/>
      <c r="O872" s="7"/>
      <c r="P872" s="7"/>
      <c r="Q872" s="6"/>
      <c r="R872" s="6"/>
      <c r="S872" s="6"/>
      <c r="T872" s="6"/>
      <c r="U872" s="6"/>
      <c r="V872" s="6"/>
      <c r="W872" s="6"/>
      <c r="X872" s="6"/>
      <c r="Y872" s="6"/>
      <c r="Z872" s="6"/>
    </row>
    <row r="873" ht="15.0" customHeight="1">
      <c r="A873" s="7"/>
      <c r="B873" s="7"/>
      <c r="C873" s="7"/>
      <c r="D873" s="7"/>
      <c r="E873" s="7"/>
      <c r="F873" s="7"/>
      <c r="G873" s="7"/>
      <c r="H873" s="7"/>
      <c r="I873" s="7"/>
      <c r="J873" s="7"/>
      <c r="K873" s="7"/>
      <c r="L873" s="14" t="str">
        <f t="shared" si="1"/>
        <v/>
      </c>
      <c r="M873" s="7"/>
      <c r="N873" s="7"/>
      <c r="O873" s="7"/>
      <c r="P873" s="7"/>
      <c r="Q873" s="6"/>
      <c r="R873" s="6"/>
      <c r="S873" s="6"/>
      <c r="T873" s="6"/>
      <c r="U873" s="6"/>
      <c r="V873" s="6"/>
      <c r="W873" s="6"/>
      <c r="X873" s="6"/>
      <c r="Y873" s="6"/>
      <c r="Z873" s="6"/>
    </row>
    <row r="874" ht="15.0" customHeight="1">
      <c r="A874" s="7"/>
      <c r="B874" s="7"/>
      <c r="C874" s="7"/>
      <c r="D874" s="7"/>
      <c r="E874" s="7"/>
      <c r="F874" s="7"/>
      <c r="G874" s="7"/>
      <c r="H874" s="7"/>
      <c r="I874" s="7"/>
      <c r="J874" s="7"/>
      <c r="K874" s="7"/>
      <c r="L874" s="14" t="str">
        <f t="shared" si="1"/>
        <v/>
      </c>
      <c r="M874" s="7"/>
      <c r="N874" s="7"/>
      <c r="O874" s="7"/>
      <c r="P874" s="7"/>
      <c r="Q874" s="6"/>
      <c r="R874" s="6"/>
      <c r="S874" s="6"/>
      <c r="T874" s="6"/>
      <c r="U874" s="6"/>
      <c r="V874" s="6"/>
      <c r="W874" s="6"/>
      <c r="X874" s="6"/>
      <c r="Y874" s="6"/>
      <c r="Z874" s="6"/>
    </row>
    <row r="875" ht="15.0" customHeight="1">
      <c r="A875" s="7"/>
      <c r="B875" s="7"/>
      <c r="C875" s="7"/>
      <c r="D875" s="7"/>
      <c r="E875" s="7"/>
      <c r="F875" s="7"/>
      <c r="G875" s="7"/>
      <c r="H875" s="7"/>
      <c r="I875" s="7"/>
      <c r="J875" s="7"/>
      <c r="K875" s="7"/>
      <c r="L875" s="14" t="str">
        <f t="shared" si="1"/>
        <v/>
      </c>
      <c r="M875" s="7"/>
      <c r="N875" s="7"/>
      <c r="O875" s="7"/>
      <c r="P875" s="7"/>
      <c r="Q875" s="6"/>
      <c r="R875" s="6"/>
      <c r="S875" s="6"/>
      <c r="T875" s="6"/>
      <c r="U875" s="6"/>
      <c r="V875" s="6"/>
      <c r="W875" s="6"/>
      <c r="X875" s="6"/>
      <c r="Y875" s="6"/>
      <c r="Z875" s="6"/>
    </row>
    <row r="876" ht="15.0" customHeight="1">
      <c r="A876" s="7"/>
      <c r="B876" s="7"/>
      <c r="C876" s="7"/>
      <c r="D876" s="7"/>
      <c r="E876" s="7"/>
      <c r="F876" s="7"/>
      <c r="G876" s="7"/>
      <c r="H876" s="7"/>
      <c r="I876" s="7"/>
      <c r="J876" s="7"/>
      <c r="K876" s="7"/>
      <c r="L876" s="14" t="str">
        <f t="shared" si="1"/>
        <v/>
      </c>
      <c r="M876" s="7"/>
      <c r="N876" s="7"/>
      <c r="O876" s="7"/>
      <c r="P876" s="7"/>
      <c r="Q876" s="6"/>
      <c r="R876" s="6"/>
      <c r="S876" s="6"/>
      <c r="T876" s="6"/>
      <c r="U876" s="6"/>
      <c r="V876" s="6"/>
      <c r="W876" s="6"/>
      <c r="X876" s="6"/>
      <c r="Y876" s="6"/>
      <c r="Z876" s="6"/>
    </row>
    <row r="877" ht="15.0" customHeight="1">
      <c r="A877" s="7"/>
      <c r="B877" s="7"/>
      <c r="C877" s="7"/>
      <c r="D877" s="7"/>
      <c r="E877" s="7"/>
      <c r="F877" s="7"/>
      <c r="G877" s="7"/>
      <c r="H877" s="7"/>
      <c r="I877" s="7"/>
      <c r="J877" s="7"/>
      <c r="K877" s="7"/>
      <c r="L877" s="14" t="str">
        <f t="shared" si="1"/>
        <v/>
      </c>
      <c r="M877" s="7"/>
      <c r="N877" s="7"/>
      <c r="O877" s="7"/>
      <c r="P877" s="7"/>
      <c r="Q877" s="6"/>
      <c r="R877" s="6"/>
      <c r="S877" s="6"/>
      <c r="T877" s="6"/>
      <c r="U877" s="6"/>
      <c r="V877" s="6"/>
      <c r="W877" s="6"/>
      <c r="X877" s="6"/>
      <c r="Y877" s="6"/>
      <c r="Z877" s="6"/>
    </row>
    <row r="878" ht="15.0" customHeight="1">
      <c r="A878" s="7"/>
      <c r="B878" s="7"/>
      <c r="C878" s="7"/>
      <c r="D878" s="7"/>
      <c r="E878" s="7"/>
      <c r="F878" s="7"/>
      <c r="G878" s="7"/>
      <c r="H878" s="7"/>
      <c r="I878" s="7"/>
      <c r="J878" s="7"/>
      <c r="K878" s="7"/>
      <c r="L878" s="14" t="str">
        <f t="shared" si="1"/>
        <v/>
      </c>
      <c r="M878" s="7"/>
      <c r="N878" s="7"/>
      <c r="O878" s="7"/>
      <c r="P878" s="7"/>
      <c r="Q878" s="6"/>
      <c r="R878" s="6"/>
      <c r="S878" s="6"/>
      <c r="T878" s="6"/>
      <c r="U878" s="6"/>
      <c r="V878" s="6"/>
      <c r="W878" s="6"/>
      <c r="X878" s="6"/>
      <c r="Y878" s="6"/>
      <c r="Z878" s="6"/>
    </row>
    <row r="879" ht="15.0" customHeight="1">
      <c r="A879" s="7"/>
      <c r="B879" s="7"/>
      <c r="C879" s="7"/>
      <c r="D879" s="7"/>
      <c r="E879" s="7"/>
      <c r="F879" s="7"/>
      <c r="G879" s="7"/>
      <c r="H879" s="7"/>
      <c r="I879" s="7"/>
      <c r="J879" s="7"/>
      <c r="K879" s="7"/>
      <c r="L879" s="14" t="str">
        <f t="shared" si="1"/>
        <v/>
      </c>
      <c r="M879" s="7"/>
      <c r="N879" s="7"/>
      <c r="O879" s="7"/>
      <c r="P879" s="7"/>
      <c r="Q879" s="6"/>
      <c r="R879" s="6"/>
      <c r="S879" s="6"/>
      <c r="T879" s="6"/>
      <c r="U879" s="6"/>
      <c r="V879" s="6"/>
      <c r="W879" s="6"/>
      <c r="X879" s="6"/>
      <c r="Y879" s="6"/>
      <c r="Z879" s="6"/>
    </row>
    <row r="880" ht="15.0" customHeight="1">
      <c r="A880" s="7"/>
      <c r="B880" s="7"/>
      <c r="C880" s="7"/>
      <c r="D880" s="7"/>
      <c r="E880" s="7"/>
      <c r="F880" s="7"/>
      <c r="G880" s="7"/>
      <c r="H880" s="7"/>
      <c r="I880" s="7"/>
      <c r="J880" s="7"/>
      <c r="K880" s="7"/>
      <c r="L880" s="14" t="str">
        <f t="shared" si="1"/>
        <v/>
      </c>
      <c r="M880" s="7"/>
      <c r="N880" s="7"/>
      <c r="O880" s="7"/>
      <c r="P880" s="7"/>
      <c r="Q880" s="6"/>
      <c r="R880" s="6"/>
      <c r="S880" s="6"/>
      <c r="T880" s="6"/>
      <c r="U880" s="6"/>
      <c r="V880" s="6"/>
      <c r="W880" s="6"/>
      <c r="X880" s="6"/>
      <c r="Y880" s="6"/>
      <c r="Z880" s="6"/>
    </row>
    <row r="881" ht="15.0" customHeight="1">
      <c r="A881" s="7"/>
      <c r="B881" s="7"/>
      <c r="C881" s="7"/>
      <c r="D881" s="7"/>
      <c r="E881" s="7"/>
      <c r="F881" s="7"/>
      <c r="G881" s="7"/>
      <c r="H881" s="7"/>
      <c r="I881" s="7"/>
      <c r="J881" s="7"/>
      <c r="K881" s="7"/>
      <c r="L881" s="14" t="str">
        <f t="shared" si="1"/>
        <v/>
      </c>
      <c r="M881" s="7"/>
      <c r="N881" s="7"/>
      <c r="O881" s="7"/>
      <c r="P881" s="7"/>
      <c r="Q881" s="6"/>
      <c r="R881" s="6"/>
      <c r="S881" s="6"/>
      <c r="T881" s="6"/>
      <c r="U881" s="6"/>
      <c r="V881" s="6"/>
      <c r="W881" s="6"/>
      <c r="X881" s="6"/>
      <c r="Y881" s="6"/>
      <c r="Z881" s="6"/>
    </row>
    <row r="882" ht="15.0" customHeight="1">
      <c r="A882" s="7"/>
      <c r="B882" s="7"/>
      <c r="C882" s="7"/>
      <c r="D882" s="7"/>
      <c r="E882" s="7"/>
      <c r="F882" s="7"/>
      <c r="G882" s="7"/>
      <c r="H882" s="7"/>
      <c r="I882" s="7"/>
      <c r="J882" s="7"/>
      <c r="K882" s="7"/>
      <c r="L882" s="14" t="str">
        <f t="shared" si="1"/>
        <v/>
      </c>
      <c r="M882" s="7"/>
      <c r="N882" s="7"/>
      <c r="O882" s="7"/>
      <c r="P882" s="7"/>
      <c r="Q882" s="6"/>
      <c r="R882" s="6"/>
      <c r="S882" s="6"/>
      <c r="T882" s="6"/>
      <c r="U882" s="6"/>
      <c r="V882" s="6"/>
      <c r="W882" s="6"/>
      <c r="X882" s="6"/>
      <c r="Y882" s="6"/>
      <c r="Z882" s="6"/>
    </row>
    <row r="883" ht="15.0" customHeight="1">
      <c r="A883" s="7"/>
      <c r="B883" s="7"/>
      <c r="C883" s="7"/>
      <c r="D883" s="7"/>
      <c r="E883" s="7"/>
      <c r="F883" s="7"/>
      <c r="G883" s="7"/>
      <c r="H883" s="7"/>
      <c r="I883" s="7"/>
      <c r="J883" s="7"/>
      <c r="K883" s="7"/>
      <c r="L883" s="14" t="str">
        <f t="shared" si="1"/>
        <v/>
      </c>
      <c r="M883" s="7"/>
      <c r="N883" s="7"/>
      <c r="O883" s="7"/>
      <c r="P883" s="7"/>
      <c r="Q883" s="6"/>
      <c r="R883" s="6"/>
      <c r="S883" s="6"/>
      <c r="T883" s="6"/>
      <c r="U883" s="6"/>
      <c r="V883" s="6"/>
      <c r="W883" s="6"/>
      <c r="X883" s="6"/>
      <c r="Y883" s="6"/>
      <c r="Z883" s="6"/>
    </row>
    <row r="884" ht="15.0" customHeight="1">
      <c r="A884" s="7"/>
      <c r="B884" s="7"/>
      <c r="C884" s="7"/>
      <c r="D884" s="7"/>
      <c r="E884" s="7"/>
      <c r="F884" s="7"/>
      <c r="G884" s="7"/>
      <c r="H884" s="7"/>
      <c r="I884" s="7"/>
      <c r="J884" s="7"/>
      <c r="K884" s="7"/>
      <c r="L884" s="14" t="str">
        <f t="shared" si="1"/>
        <v/>
      </c>
      <c r="M884" s="7"/>
      <c r="N884" s="7"/>
      <c r="O884" s="7"/>
      <c r="P884" s="7"/>
      <c r="Q884" s="6"/>
      <c r="R884" s="6"/>
      <c r="S884" s="6"/>
      <c r="T884" s="6"/>
      <c r="U884" s="6"/>
      <c r="V884" s="6"/>
      <c r="W884" s="6"/>
      <c r="X884" s="6"/>
      <c r="Y884" s="6"/>
      <c r="Z884" s="6"/>
    </row>
    <row r="885" ht="15.0" customHeight="1">
      <c r="A885" s="7"/>
      <c r="B885" s="7"/>
      <c r="C885" s="7"/>
      <c r="D885" s="7"/>
      <c r="E885" s="7"/>
      <c r="F885" s="7"/>
      <c r="G885" s="7"/>
      <c r="H885" s="7"/>
      <c r="I885" s="7"/>
      <c r="J885" s="7"/>
      <c r="K885" s="7"/>
      <c r="L885" s="14" t="str">
        <f t="shared" si="1"/>
        <v/>
      </c>
      <c r="M885" s="7"/>
      <c r="N885" s="7"/>
      <c r="O885" s="7"/>
      <c r="P885" s="7"/>
      <c r="Q885" s="6"/>
      <c r="R885" s="6"/>
      <c r="S885" s="6"/>
      <c r="T885" s="6"/>
      <c r="U885" s="6"/>
      <c r="V885" s="6"/>
      <c r="W885" s="6"/>
      <c r="X885" s="6"/>
      <c r="Y885" s="6"/>
      <c r="Z885" s="6"/>
    </row>
    <row r="886" ht="15.0" customHeight="1">
      <c r="A886" s="7"/>
      <c r="B886" s="7"/>
      <c r="C886" s="7"/>
      <c r="D886" s="7"/>
      <c r="E886" s="7"/>
      <c r="F886" s="7"/>
      <c r="G886" s="7"/>
      <c r="H886" s="7"/>
      <c r="I886" s="7"/>
      <c r="J886" s="7"/>
      <c r="K886" s="7"/>
      <c r="L886" s="14" t="str">
        <f t="shared" si="1"/>
        <v/>
      </c>
      <c r="M886" s="7"/>
      <c r="N886" s="7"/>
      <c r="O886" s="7"/>
      <c r="P886" s="7"/>
      <c r="Q886" s="6"/>
      <c r="R886" s="6"/>
      <c r="S886" s="6"/>
      <c r="T886" s="6"/>
      <c r="U886" s="6"/>
      <c r="V886" s="6"/>
      <c r="W886" s="6"/>
      <c r="X886" s="6"/>
      <c r="Y886" s="6"/>
      <c r="Z886" s="6"/>
    </row>
    <row r="887" ht="15.0" customHeight="1">
      <c r="A887" s="7"/>
      <c r="B887" s="7"/>
      <c r="C887" s="7"/>
      <c r="D887" s="7"/>
      <c r="E887" s="7"/>
      <c r="F887" s="7"/>
      <c r="G887" s="7"/>
      <c r="H887" s="7"/>
      <c r="I887" s="7"/>
      <c r="J887" s="7"/>
      <c r="K887" s="7"/>
      <c r="L887" s="14" t="str">
        <f t="shared" si="1"/>
        <v/>
      </c>
      <c r="M887" s="7"/>
      <c r="N887" s="7"/>
      <c r="O887" s="7"/>
      <c r="P887" s="7"/>
      <c r="Q887" s="6"/>
      <c r="R887" s="6"/>
      <c r="S887" s="6"/>
      <c r="T887" s="6"/>
      <c r="U887" s="6"/>
      <c r="V887" s="6"/>
      <c r="W887" s="6"/>
      <c r="X887" s="6"/>
      <c r="Y887" s="6"/>
      <c r="Z887" s="6"/>
    </row>
    <row r="888" ht="15.0" customHeight="1">
      <c r="A888" s="7"/>
      <c r="B888" s="7"/>
      <c r="C888" s="7"/>
      <c r="D888" s="7"/>
      <c r="E888" s="7"/>
      <c r="F888" s="7"/>
      <c r="G888" s="7"/>
      <c r="H888" s="7"/>
      <c r="I888" s="7"/>
      <c r="J888" s="7"/>
      <c r="K888" s="7"/>
      <c r="L888" s="14" t="str">
        <f t="shared" si="1"/>
        <v/>
      </c>
      <c r="M888" s="7"/>
      <c r="N888" s="7"/>
      <c r="O888" s="7"/>
      <c r="P888" s="7"/>
      <c r="Q888" s="6"/>
      <c r="R888" s="6"/>
      <c r="S888" s="6"/>
      <c r="T888" s="6"/>
      <c r="U888" s="6"/>
      <c r="V888" s="6"/>
      <c r="W888" s="6"/>
      <c r="X888" s="6"/>
      <c r="Y888" s="6"/>
      <c r="Z888" s="6"/>
    </row>
    <row r="889" ht="15.0" customHeight="1">
      <c r="A889" s="7"/>
      <c r="B889" s="7"/>
      <c r="C889" s="7"/>
      <c r="D889" s="7"/>
      <c r="E889" s="7"/>
      <c r="F889" s="7"/>
      <c r="G889" s="7"/>
      <c r="H889" s="7"/>
      <c r="I889" s="7"/>
      <c r="J889" s="7"/>
      <c r="K889" s="7"/>
      <c r="L889" s="14" t="str">
        <f t="shared" si="1"/>
        <v/>
      </c>
      <c r="M889" s="7"/>
      <c r="N889" s="7"/>
      <c r="O889" s="7"/>
      <c r="P889" s="7"/>
      <c r="Q889" s="6"/>
      <c r="R889" s="6"/>
      <c r="S889" s="6"/>
      <c r="T889" s="6"/>
      <c r="U889" s="6"/>
      <c r="V889" s="6"/>
      <c r="W889" s="6"/>
      <c r="X889" s="6"/>
      <c r="Y889" s="6"/>
      <c r="Z889" s="6"/>
    </row>
    <row r="890" ht="15.0" customHeight="1">
      <c r="A890" s="7"/>
      <c r="B890" s="7"/>
      <c r="C890" s="7"/>
      <c r="D890" s="7"/>
      <c r="E890" s="7"/>
      <c r="F890" s="7"/>
      <c r="G890" s="7"/>
      <c r="H890" s="7"/>
      <c r="I890" s="7"/>
      <c r="J890" s="7"/>
      <c r="K890" s="7"/>
      <c r="L890" s="14" t="str">
        <f t="shared" si="1"/>
        <v/>
      </c>
      <c r="M890" s="7"/>
      <c r="N890" s="7"/>
      <c r="O890" s="7"/>
      <c r="P890" s="7"/>
      <c r="Q890" s="6"/>
      <c r="R890" s="6"/>
      <c r="S890" s="6"/>
      <c r="T890" s="6"/>
      <c r="U890" s="6"/>
      <c r="V890" s="6"/>
      <c r="W890" s="6"/>
      <c r="X890" s="6"/>
      <c r="Y890" s="6"/>
      <c r="Z890" s="6"/>
    </row>
    <row r="891" ht="15.0" customHeight="1">
      <c r="A891" s="7"/>
      <c r="B891" s="7"/>
      <c r="C891" s="7"/>
      <c r="D891" s="7"/>
      <c r="E891" s="7"/>
      <c r="F891" s="7"/>
      <c r="G891" s="7"/>
      <c r="H891" s="7"/>
      <c r="I891" s="7"/>
      <c r="J891" s="7"/>
      <c r="K891" s="7"/>
      <c r="L891" s="14" t="str">
        <f t="shared" si="1"/>
        <v/>
      </c>
      <c r="M891" s="7"/>
      <c r="N891" s="7"/>
      <c r="O891" s="7"/>
      <c r="P891" s="7"/>
      <c r="Q891" s="6"/>
      <c r="R891" s="6"/>
      <c r="S891" s="6"/>
      <c r="T891" s="6"/>
      <c r="U891" s="6"/>
      <c r="V891" s="6"/>
      <c r="W891" s="6"/>
      <c r="X891" s="6"/>
      <c r="Y891" s="6"/>
      <c r="Z891" s="6"/>
    </row>
    <row r="892" ht="15.0" customHeight="1">
      <c r="A892" s="7"/>
      <c r="B892" s="7"/>
      <c r="C892" s="7"/>
      <c r="D892" s="7"/>
      <c r="E892" s="7"/>
      <c r="F892" s="7"/>
      <c r="G892" s="7"/>
      <c r="H892" s="7"/>
      <c r="I892" s="7"/>
      <c r="J892" s="7"/>
      <c r="K892" s="7"/>
      <c r="L892" s="14" t="str">
        <f t="shared" si="1"/>
        <v/>
      </c>
      <c r="M892" s="7"/>
      <c r="N892" s="7"/>
      <c r="O892" s="7"/>
      <c r="P892" s="7"/>
      <c r="Q892" s="6"/>
      <c r="R892" s="6"/>
      <c r="S892" s="6"/>
      <c r="T892" s="6"/>
      <c r="U892" s="6"/>
      <c r="V892" s="6"/>
      <c r="W892" s="6"/>
      <c r="X892" s="6"/>
      <c r="Y892" s="6"/>
      <c r="Z892" s="6"/>
    </row>
    <row r="893" ht="15.0" customHeight="1">
      <c r="A893" s="7"/>
      <c r="B893" s="7"/>
      <c r="C893" s="7"/>
      <c r="D893" s="7"/>
      <c r="E893" s="7"/>
      <c r="F893" s="7"/>
      <c r="G893" s="7"/>
      <c r="H893" s="7"/>
      <c r="I893" s="7"/>
      <c r="J893" s="7"/>
      <c r="K893" s="7"/>
      <c r="L893" s="14" t="str">
        <f t="shared" si="1"/>
        <v/>
      </c>
      <c r="M893" s="7"/>
      <c r="N893" s="7"/>
      <c r="O893" s="7"/>
      <c r="P893" s="7"/>
      <c r="Q893" s="6"/>
      <c r="R893" s="6"/>
      <c r="S893" s="6"/>
      <c r="T893" s="6"/>
      <c r="U893" s="6"/>
      <c r="V893" s="6"/>
      <c r="W893" s="6"/>
      <c r="X893" s="6"/>
      <c r="Y893" s="6"/>
      <c r="Z893" s="6"/>
    </row>
    <row r="894" ht="15.0" customHeight="1">
      <c r="A894" s="7"/>
      <c r="B894" s="7"/>
      <c r="C894" s="7"/>
      <c r="D894" s="7"/>
      <c r="E894" s="7"/>
      <c r="F894" s="7"/>
      <c r="G894" s="7"/>
      <c r="H894" s="7"/>
      <c r="I894" s="7"/>
      <c r="J894" s="7"/>
      <c r="K894" s="7"/>
      <c r="L894" s="14" t="str">
        <f t="shared" si="1"/>
        <v/>
      </c>
      <c r="M894" s="7"/>
      <c r="N894" s="7"/>
      <c r="O894" s="7"/>
      <c r="P894" s="7"/>
      <c r="Q894" s="6"/>
      <c r="R894" s="6"/>
      <c r="S894" s="6"/>
      <c r="T894" s="6"/>
      <c r="U894" s="6"/>
      <c r="V894" s="6"/>
      <c r="W894" s="6"/>
      <c r="X894" s="6"/>
      <c r="Y894" s="6"/>
      <c r="Z894" s="6"/>
    </row>
    <row r="895" ht="15.0" customHeight="1">
      <c r="A895" s="7"/>
      <c r="B895" s="7"/>
      <c r="C895" s="7"/>
      <c r="D895" s="7"/>
      <c r="E895" s="7"/>
      <c r="F895" s="7"/>
      <c r="G895" s="7"/>
      <c r="H895" s="7"/>
      <c r="I895" s="7"/>
      <c r="J895" s="7"/>
      <c r="K895" s="7"/>
      <c r="L895" s="14" t="str">
        <f t="shared" si="1"/>
        <v/>
      </c>
      <c r="M895" s="7"/>
      <c r="N895" s="7"/>
      <c r="O895" s="7"/>
      <c r="P895" s="7"/>
      <c r="Q895" s="6"/>
      <c r="R895" s="6"/>
      <c r="S895" s="6"/>
      <c r="T895" s="6"/>
      <c r="U895" s="6"/>
      <c r="V895" s="6"/>
      <c r="W895" s="6"/>
      <c r="X895" s="6"/>
      <c r="Y895" s="6"/>
      <c r="Z895" s="6"/>
    </row>
    <row r="896" ht="15.0" customHeight="1">
      <c r="A896" s="7"/>
      <c r="B896" s="7"/>
      <c r="C896" s="7"/>
      <c r="D896" s="7"/>
      <c r="E896" s="7"/>
      <c r="F896" s="7"/>
      <c r="G896" s="7"/>
      <c r="H896" s="7"/>
      <c r="I896" s="7"/>
      <c r="J896" s="7"/>
      <c r="K896" s="7"/>
      <c r="L896" s="14" t="str">
        <f t="shared" si="1"/>
        <v/>
      </c>
      <c r="M896" s="7"/>
      <c r="N896" s="7"/>
      <c r="O896" s="7"/>
      <c r="P896" s="7"/>
      <c r="Q896" s="6"/>
      <c r="R896" s="6"/>
      <c r="S896" s="6"/>
      <c r="T896" s="6"/>
      <c r="U896" s="6"/>
      <c r="V896" s="6"/>
      <c r="W896" s="6"/>
      <c r="X896" s="6"/>
      <c r="Y896" s="6"/>
      <c r="Z896" s="6"/>
    </row>
    <row r="897" ht="15.0" customHeight="1">
      <c r="A897" s="7"/>
      <c r="B897" s="7"/>
      <c r="C897" s="7"/>
      <c r="D897" s="7"/>
      <c r="E897" s="7"/>
      <c r="F897" s="7"/>
      <c r="G897" s="7"/>
      <c r="H897" s="7"/>
      <c r="I897" s="7"/>
      <c r="J897" s="7"/>
      <c r="K897" s="7"/>
      <c r="L897" s="14" t="str">
        <f t="shared" si="1"/>
        <v/>
      </c>
      <c r="M897" s="7"/>
      <c r="N897" s="7"/>
      <c r="O897" s="7"/>
      <c r="P897" s="7"/>
      <c r="Q897" s="6"/>
      <c r="R897" s="6"/>
      <c r="S897" s="6"/>
      <c r="T897" s="6"/>
      <c r="U897" s="6"/>
      <c r="V897" s="6"/>
      <c r="W897" s="6"/>
      <c r="X897" s="6"/>
      <c r="Y897" s="6"/>
      <c r="Z897" s="6"/>
    </row>
    <row r="898" ht="15.0" customHeight="1">
      <c r="A898" s="7"/>
      <c r="B898" s="7"/>
      <c r="C898" s="7"/>
      <c r="D898" s="7"/>
      <c r="E898" s="7"/>
      <c r="F898" s="7"/>
      <c r="G898" s="7"/>
      <c r="H898" s="7"/>
      <c r="I898" s="7"/>
      <c r="J898" s="7"/>
      <c r="K898" s="7"/>
      <c r="L898" s="14" t="str">
        <f t="shared" si="1"/>
        <v/>
      </c>
      <c r="M898" s="7"/>
      <c r="N898" s="7"/>
      <c r="O898" s="7"/>
      <c r="P898" s="7"/>
      <c r="Q898" s="6"/>
      <c r="R898" s="6"/>
      <c r="S898" s="6"/>
      <c r="T898" s="6"/>
      <c r="U898" s="6"/>
      <c r="V898" s="6"/>
      <c r="W898" s="6"/>
      <c r="X898" s="6"/>
      <c r="Y898" s="6"/>
      <c r="Z898" s="6"/>
    </row>
    <row r="899" ht="15.0" customHeight="1">
      <c r="A899" s="7"/>
      <c r="B899" s="7"/>
      <c r="C899" s="7"/>
      <c r="D899" s="7"/>
      <c r="E899" s="7"/>
      <c r="F899" s="7"/>
      <c r="G899" s="7"/>
      <c r="H899" s="7"/>
      <c r="I899" s="7"/>
      <c r="J899" s="7"/>
      <c r="K899" s="7"/>
      <c r="L899" s="14" t="str">
        <f t="shared" si="1"/>
        <v/>
      </c>
      <c r="M899" s="7"/>
      <c r="N899" s="7"/>
      <c r="O899" s="7"/>
      <c r="P899" s="7"/>
      <c r="Q899" s="6"/>
      <c r="R899" s="6"/>
      <c r="S899" s="6"/>
      <c r="T899" s="6"/>
      <c r="U899" s="6"/>
      <c r="V899" s="6"/>
      <c r="W899" s="6"/>
      <c r="X899" s="6"/>
      <c r="Y899" s="6"/>
      <c r="Z899" s="6"/>
    </row>
    <row r="900" ht="15.0" customHeight="1">
      <c r="A900" s="7"/>
      <c r="B900" s="7"/>
      <c r="C900" s="7"/>
      <c r="D900" s="7"/>
      <c r="E900" s="7"/>
      <c r="F900" s="7"/>
      <c r="G900" s="7"/>
      <c r="H900" s="7"/>
      <c r="I900" s="7"/>
      <c r="J900" s="7"/>
      <c r="K900" s="7"/>
      <c r="L900" s="14" t="str">
        <f t="shared" si="1"/>
        <v/>
      </c>
      <c r="M900" s="7"/>
      <c r="N900" s="7"/>
      <c r="O900" s="7"/>
      <c r="P900" s="7"/>
      <c r="Q900" s="6"/>
      <c r="R900" s="6"/>
      <c r="S900" s="6"/>
      <c r="T900" s="6"/>
      <c r="U900" s="6"/>
      <c r="V900" s="6"/>
      <c r="W900" s="6"/>
      <c r="X900" s="6"/>
      <c r="Y900" s="6"/>
      <c r="Z900" s="6"/>
    </row>
    <row r="901" ht="15.0" customHeight="1">
      <c r="A901" s="7"/>
      <c r="B901" s="7"/>
      <c r="C901" s="7"/>
      <c r="D901" s="7"/>
      <c r="E901" s="7"/>
      <c r="F901" s="7"/>
      <c r="G901" s="7"/>
      <c r="H901" s="7"/>
      <c r="I901" s="7"/>
      <c r="J901" s="7"/>
      <c r="K901" s="7"/>
      <c r="L901" s="14" t="str">
        <f t="shared" si="1"/>
        <v/>
      </c>
      <c r="M901" s="7"/>
      <c r="N901" s="7"/>
      <c r="O901" s="7"/>
      <c r="P901" s="7"/>
      <c r="Q901" s="6"/>
      <c r="R901" s="6"/>
      <c r="S901" s="6"/>
      <c r="T901" s="6"/>
      <c r="U901" s="6"/>
      <c r="V901" s="6"/>
      <c r="W901" s="6"/>
      <c r="X901" s="6"/>
      <c r="Y901" s="6"/>
      <c r="Z901" s="6"/>
    </row>
    <row r="902" ht="15.0" customHeight="1">
      <c r="A902" s="7"/>
      <c r="B902" s="7"/>
      <c r="C902" s="7"/>
      <c r="D902" s="7"/>
      <c r="E902" s="7"/>
      <c r="F902" s="7"/>
      <c r="G902" s="7"/>
      <c r="H902" s="7"/>
      <c r="I902" s="7"/>
      <c r="J902" s="7"/>
      <c r="K902" s="7"/>
      <c r="L902" s="14" t="str">
        <f t="shared" si="1"/>
        <v/>
      </c>
      <c r="M902" s="7"/>
      <c r="N902" s="7"/>
      <c r="O902" s="7"/>
      <c r="P902" s="7"/>
      <c r="Q902" s="6"/>
      <c r="R902" s="6"/>
      <c r="S902" s="6"/>
      <c r="T902" s="6"/>
      <c r="U902" s="6"/>
      <c r="V902" s="6"/>
      <c r="W902" s="6"/>
      <c r="X902" s="6"/>
      <c r="Y902" s="6"/>
      <c r="Z902" s="6"/>
    </row>
    <row r="903" ht="15.0" customHeight="1">
      <c r="A903" s="7"/>
      <c r="B903" s="7"/>
      <c r="C903" s="7"/>
      <c r="D903" s="7"/>
      <c r="E903" s="7"/>
      <c r="F903" s="7"/>
      <c r="G903" s="7"/>
      <c r="H903" s="7"/>
      <c r="I903" s="7"/>
      <c r="J903" s="7"/>
      <c r="K903" s="7"/>
      <c r="L903" s="14" t="str">
        <f t="shared" si="1"/>
        <v/>
      </c>
      <c r="M903" s="7"/>
      <c r="N903" s="7"/>
      <c r="O903" s="7"/>
      <c r="P903" s="7"/>
      <c r="Q903" s="6"/>
      <c r="R903" s="6"/>
      <c r="S903" s="6"/>
      <c r="T903" s="6"/>
      <c r="U903" s="6"/>
      <c r="V903" s="6"/>
      <c r="W903" s="6"/>
      <c r="X903" s="6"/>
      <c r="Y903" s="6"/>
      <c r="Z903" s="6"/>
    </row>
    <row r="904" ht="15.0" customHeight="1">
      <c r="A904" s="7"/>
      <c r="B904" s="7"/>
      <c r="C904" s="7"/>
      <c r="D904" s="7"/>
      <c r="E904" s="7"/>
      <c r="F904" s="7"/>
      <c r="G904" s="7"/>
      <c r="H904" s="7"/>
      <c r="I904" s="7"/>
      <c r="J904" s="7"/>
      <c r="K904" s="7"/>
      <c r="L904" s="14" t="str">
        <f t="shared" si="1"/>
        <v/>
      </c>
      <c r="M904" s="7"/>
      <c r="N904" s="7"/>
      <c r="O904" s="7"/>
      <c r="P904" s="7"/>
      <c r="Q904" s="6"/>
      <c r="R904" s="6"/>
      <c r="S904" s="6"/>
      <c r="T904" s="6"/>
      <c r="U904" s="6"/>
      <c r="V904" s="6"/>
      <c r="W904" s="6"/>
      <c r="X904" s="6"/>
      <c r="Y904" s="6"/>
      <c r="Z904" s="6"/>
    </row>
    <row r="905" ht="15.0" customHeight="1">
      <c r="A905" s="7"/>
      <c r="B905" s="7"/>
      <c r="C905" s="7"/>
      <c r="D905" s="7"/>
      <c r="E905" s="7"/>
      <c r="F905" s="7"/>
      <c r="G905" s="7"/>
      <c r="H905" s="7"/>
      <c r="I905" s="7"/>
      <c r="J905" s="7"/>
      <c r="K905" s="7"/>
      <c r="L905" s="14" t="str">
        <f t="shared" si="1"/>
        <v/>
      </c>
      <c r="M905" s="7"/>
      <c r="N905" s="7"/>
      <c r="O905" s="7"/>
      <c r="P905" s="7"/>
      <c r="Q905" s="6"/>
      <c r="R905" s="6"/>
      <c r="S905" s="6"/>
      <c r="T905" s="6"/>
      <c r="U905" s="6"/>
      <c r="V905" s="6"/>
      <c r="W905" s="6"/>
      <c r="X905" s="6"/>
      <c r="Y905" s="6"/>
      <c r="Z905" s="6"/>
    </row>
    <row r="906" ht="15.0" customHeight="1">
      <c r="A906" s="7"/>
      <c r="B906" s="7"/>
      <c r="C906" s="7"/>
      <c r="D906" s="7"/>
      <c r="E906" s="7"/>
      <c r="F906" s="7"/>
      <c r="G906" s="7"/>
      <c r="H906" s="7"/>
      <c r="I906" s="7"/>
      <c r="J906" s="7"/>
      <c r="K906" s="7"/>
      <c r="L906" s="14" t="str">
        <f t="shared" si="1"/>
        <v/>
      </c>
      <c r="M906" s="7"/>
      <c r="N906" s="7"/>
      <c r="O906" s="7"/>
      <c r="P906" s="7"/>
      <c r="Q906" s="6"/>
      <c r="R906" s="6"/>
      <c r="S906" s="6"/>
      <c r="T906" s="6"/>
      <c r="U906" s="6"/>
      <c r="V906" s="6"/>
      <c r="W906" s="6"/>
      <c r="X906" s="6"/>
      <c r="Y906" s="6"/>
      <c r="Z906" s="6"/>
    </row>
    <row r="907" ht="15.0" customHeight="1">
      <c r="A907" s="7"/>
      <c r="B907" s="7"/>
      <c r="C907" s="7"/>
      <c r="D907" s="7"/>
      <c r="E907" s="7"/>
      <c r="F907" s="7"/>
      <c r="G907" s="7"/>
      <c r="H907" s="7"/>
      <c r="I907" s="7"/>
      <c r="J907" s="7"/>
      <c r="K907" s="7"/>
      <c r="L907" s="14" t="str">
        <f t="shared" si="1"/>
        <v/>
      </c>
      <c r="M907" s="7"/>
      <c r="N907" s="7"/>
      <c r="O907" s="7"/>
      <c r="P907" s="7"/>
      <c r="Q907" s="6"/>
      <c r="R907" s="6"/>
      <c r="S907" s="6"/>
      <c r="T907" s="6"/>
      <c r="U907" s="6"/>
      <c r="V907" s="6"/>
      <c r="W907" s="6"/>
      <c r="X907" s="6"/>
      <c r="Y907" s="6"/>
      <c r="Z907" s="6"/>
    </row>
    <row r="908" ht="15.0" customHeight="1">
      <c r="A908" s="7"/>
      <c r="B908" s="7"/>
      <c r="C908" s="7"/>
      <c r="D908" s="7"/>
      <c r="E908" s="7"/>
      <c r="F908" s="7"/>
      <c r="G908" s="7"/>
      <c r="H908" s="7"/>
      <c r="I908" s="7"/>
      <c r="J908" s="7"/>
      <c r="K908" s="7"/>
      <c r="L908" s="14" t="str">
        <f t="shared" si="1"/>
        <v/>
      </c>
      <c r="M908" s="7"/>
      <c r="N908" s="7"/>
      <c r="O908" s="7"/>
      <c r="P908" s="7"/>
      <c r="Q908" s="6"/>
      <c r="R908" s="6"/>
      <c r="S908" s="6"/>
      <c r="T908" s="6"/>
      <c r="U908" s="6"/>
      <c r="V908" s="6"/>
      <c r="W908" s="6"/>
      <c r="X908" s="6"/>
      <c r="Y908" s="6"/>
      <c r="Z908" s="6"/>
    </row>
    <row r="909" ht="15.0" customHeight="1">
      <c r="A909" s="7"/>
      <c r="B909" s="7"/>
      <c r="C909" s="7"/>
      <c r="D909" s="7"/>
      <c r="E909" s="7"/>
      <c r="F909" s="7"/>
      <c r="G909" s="7"/>
      <c r="H909" s="7"/>
      <c r="I909" s="7"/>
      <c r="J909" s="7"/>
      <c r="K909" s="7"/>
      <c r="L909" s="14" t="str">
        <f t="shared" si="1"/>
        <v/>
      </c>
      <c r="M909" s="7"/>
      <c r="N909" s="7"/>
      <c r="O909" s="7"/>
      <c r="P909" s="7"/>
      <c r="Q909" s="6"/>
      <c r="R909" s="6"/>
      <c r="S909" s="6"/>
      <c r="T909" s="6"/>
      <c r="U909" s="6"/>
      <c r="V909" s="6"/>
      <c r="W909" s="6"/>
      <c r="X909" s="6"/>
      <c r="Y909" s="6"/>
      <c r="Z909" s="6"/>
    </row>
    <row r="910" ht="15.0" customHeight="1">
      <c r="A910" s="7"/>
      <c r="B910" s="7"/>
      <c r="C910" s="7"/>
      <c r="D910" s="7"/>
      <c r="E910" s="7"/>
      <c r="F910" s="7"/>
      <c r="G910" s="7"/>
      <c r="H910" s="7"/>
      <c r="I910" s="7"/>
      <c r="J910" s="7"/>
      <c r="K910" s="7"/>
      <c r="L910" s="14" t="str">
        <f t="shared" si="1"/>
        <v/>
      </c>
      <c r="M910" s="7"/>
      <c r="N910" s="7"/>
      <c r="O910" s="7"/>
      <c r="P910" s="7"/>
      <c r="Q910" s="6"/>
      <c r="R910" s="6"/>
      <c r="S910" s="6"/>
      <c r="T910" s="6"/>
      <c r="U910" s="6"/>
      <c r="V910" s="6"/>
      <c r="W910" s="6"/>
      <c r="X910" s="6"/>
      <c r="Y910" s="6"/>
      <c r="Z910" s="6"/>
    </row>
    <row r="911" ht="15.0" customHeight="1">
      <c r="A911" s="7"/>
      <c r="B911" s="7"/>
      <c r="C911" s="7"/>
      <c r="D911" s="7"/>
      <c r="E911" s="7"/>
      <c r="F911" s="7"/>
      <c r="G911" s="7"/>
      <c r="H911" s="7"/>
      <c r="I911" s="7"/>
      <c r="J911" s="7"/>
      <c r="K911" s="7"/>
      <c r="L911" s="14" t="str">
        <f t="shared" si="1"/>
        <v/>
      </c>
      <c r="M911" s="7"/>
      <c r="N911" s="7"/>
      <c r="O911" s="7"/>
      <c r="P911" s="7"/>
      <c r="Q911" s="6"/>
      <c r="R911" s="6"/>
      <c r="S911" s="6"/>
      <c r="T911" s="6"/>
      <c r="U911" s="6"/>
      <c r="V911" s="6"/>
      <c r="W911" s="6"/>
      <c r="X911" s="6"/>
      <c r="Y911" s="6"/>
      <c r="Z911" s="6"/>
    </row>
    <row r="912" ht="15.0" customHeight="1">
      <c r="A912" s="7"/>
      <c r="B912" s="7"/>
      <c r="C912" s="7"/>
      <c r="D912" s="7"/>
      <c r="E912" s="7"/>
      <c r="F912" s="7"/>
      <c r="G912" s="7"/>
      <c r="H912" s="7"/>
      <c r="I912" s="7"/>
      <c r="J912" s="7"/>
      <c r="K912" s="7"/>
      <c r="L912" s="14" t="str">
        <f t="shared" si="1"/>
        <v/>
      </c>
      <c r="M912" s="7"/>
      <c r="N912" s="7"/>
      <c r="O912" s="7"/>
      <c r="P912" s="7"/>
      <c r="Q912" s="6"/>
      <c r="R912" s="6"/>
      <c r="S912" s="6"/>
      <c r="T912" s="6"/>
      <c r="U912" s="6"/>
      <c r="V912" s="6"/>
      <c r="W912" s="6"/>
      <c r="X912" s="6"/>
      <c r="Y912" s="6"/>
      <c r="Z912" s="6"/>
    </row>
    <row r="913" ht="15.0" customHeight="1">
      <c r="A913" s="7"/>
      <c r="B913" s="7"/>
      <c r="C913" s="7"/>
      <c r="D913" s="7"/>
      <c r="E913" s="7"/>
      <c r="F913" s="7"/>
      <c r="G913" s="7"/>
      <c r="H913" s="7"/>
      <c r="I913" s="7"/>
      <c r="J913" s="7"/>
      <c r="K913" s="7"/>
      <c r="L913" s="14" t="str">
        <f t="shared" si="1"/>
        <v/>
      </c>
      <c r="M913" s="7"/>
      <c r="N913" s="7"/>
      <c r="O913" s="7"/>
      <c r="P913" s="7"/>
      <c r="Q913" s="6"/>
      <c r="R913" s="6"/>
      <c r="S913" s="6"/>
      <c r="T913" s="6"/>
      <c r="U913" s="6"/>
      <c r="V913" s="6"/>
      <c r="W913" s="6"/>
      <c r="X913" s="6"/>
      <c r="Y913" s="6"/>
      <c r="Z913" s="6"/>
    </row>
    <row r="914" ht="15.0" customHeight="1">
      <c r="A914" s="7"/>
      <c r="B914" s="7"/>
      <c r="C914" s="7"/>
      <c r="D914" s="7"/>
      <c r="E914" s="7"/>
      <c r="F914" s="7"/>
      <c r="G914" s="7"/>
      <c r="H914" s="7"/>
      <c r="I914" s="7"/>
      <c r="J914" s="7"/>
      <c r="K914" s="7"/>
      <c r="L914" s="14" t="str">
        <f t="shared" si="1"/>
        <v/>
      </c>
      <c r="M914" s="7"/>
      <c r="N914" s="7"/>
      <c r="O914" s="7"/>
      <c r="P914" s="7"/>
      <c r="Q914" s="6"/>
      <c r="R914" s="6"/>
      <c r="S914" s="6"/>
      <c r="T914" s="6"/>
      <c r="U914" s="6"/>
      <c r="V914" s="6"/>
      <c r="W914" s="6"/>
      <c r="X914" s="6"/>
      <c r="Y914" s="6"/>
      <c r="Z914" s="6"/>
    </row>
    <row r="915" ht="15.0" customHeight="1">
      <c r="A915" s="7"/>
      <c r="B915" s="7"/>
      <c r="C915" s="7"/>
      <c r="D915" s="7"/>
      <c r="E915" s="7"/>
      <c r="F915" s="7"/>
      <c r="G915" s="7"/>
      <c r="H915" s="7"/>
      <c r="I915" s="7"/>
      <c r="J915" s="7"/>
      <c r="K915" s="7"/>
      <c r="L915" s="14" t="str">
        <f t="shared" si="1"/>
        <v/>
      </c>
      <c r="M915" s="7"/>
      <c r="N915" s="7"/>
      <c r="O915" s="7"/>
      <c r="P915" s="7"/>
      <c r="Q915" s="6"/>
      <c r="R915" s="6"/>
      <c r="S915" s="6"/>
      <c r="T915" s="6"/>
      <c r="U915" s="6"/>
      <c r="V915" s="6"/>
      <c r="W915" s="6"/>
      <c r="X915" s="6"/>
      <c r="Y915" s="6"/>
      <c r="Z915" s="6"/>
    </row>
    <row r="916" ht="15.0" customHeight="1">
      <c r="A916" s="7"/>
      <c r="B916" s="7"/>
      <c r="C916" s="7"/>
      <c r="D916" s="7"/>
      <c r="E916" s="7"/>
      <c r="F916" s="7"/>
      <c r="G916" s="7"/>
      <c r="H916" s="7"/>
      <c r="I916" s="7"/>
      <c r="J916" s="7"/>
      <c r="K916" s="7"/>
      <c r="L916" s="14" t="str">
        <f t="shared" si="1"/>
        <v/>
      </c>
      <c r="M916" s="7"/>
      <c r="N916" s="7"/>
      <c r="O916" s="7"/>
      <c r="P916" s="7"/>
      <c r="Q916" s="6"/>
      <c r="R916" s="6"/>
      <c r="S916" s="6"/>
      <c r="T916" s="6"/>
      <c r="U916" s="6"/>
      <c r="V916" s="6"/>
      <c r="W916" s="6"/>
      <c r="X916" s="6"/>
      <c r="Y916" s="6"/>
      <c r="Z916" s="6"/>
    </row>
    <row r="917" ht="15.0" customHeight="1">
      <c r="A917" s="7"/>
      <c r="B917" s="7"/>
      <c r="C917" s="7"/>
      <c r="D917" s="7"/>
      <c r="E917" s="7"/>
      <c r="F917" s="7"/>
      <c r="G917" s="7"/>
      <c r="H917" s="7"/>
      <c r="I917" s="7"/>
      <c r="J917" s="7"/>
      <c r="K917" s="7"/>
      <c r="L917" s="14" t="str">
        <f t="shared" si="1"/>
        <v/>
      </c>
      <c r="M917" s="7"/>
      <c r="N917" s="7"/>
      <c r="O917" s="7"/>
      <c r="P917" s="7"/>
      <c r="Q917" s="6"/>
      <c r="R917" s="6"/>
      <c r="S917" s="6"/>
      <c r="T917" s="6"/>
      <c r="U917" s="6"/>
      <c r="V917" s="6"/>
      <c r="W917" s="6"/>
      <c r="X917" s="6"/>
      <c r="Y917" s="6"/>
      <c r="Z917" s="6"/>
    </row>
    <row r="918" ht="15.0" customHeight="1">
      <c r="A918" s="7"/>
      <c r="B918" s="7"/>
      <c r="C918" s="7"/>
      <c r="D918" s="7"/>
      <c r="E918" s="7"/>
      <c r="F918" s="7"/>
      <c r="G918" s="7"/>
      <c r="H918" s="7"/>
      <c r="I918" s="7"/>
      <c r="J918" s="7"/>
      <c r="K918" s="7"/>
      <c r="L918" s="14" t="str">
        <f t="shared" si="1"/>
        <v/>
      </c>
      <c r="M918" s="7"/>
      <c r="N918" s="7"/>
      <c r="O918" s="7"/>
      <c r="P918" s="7"/>
      <c r="Q918" s="6"/>
      <c r="R918" s="6"/>
      <c r="S918" s="6"/>
      <c r="T918" s="6"/>
      <c r="U918" s="6"/>
      <c r="V918" s="6"/>
      <c r="W918" s="6"/>
      <c r="X918" s="6"/>
      <c r="Y918" s="6"/>
      <c r="Z918" s="6"/>
    </row>
    <row r="919" ht="15.0" customHeight="1">
      <c r="A919" s="7"/>
      <c r="B919" s="7"/>
      <c r="C919" s="7"/>
      <c r="D919" s="7"/>
      <c r="E919" s="7"/>
      <c r="F919" s="7"/>
      <c r="G919" s="7"/>
      <c r="H919" s="7"/>
      <c r="I919" s="7"/>
      <c r="J919" s="7"/>
      <c r="K919" s="7"/>
      <c r="L919" s="14" t="str">
        <f t="shared" si="1"/>
        <v/>
      </c>
      <c r="M919" s="7"/>
      <c r="N919" s="7"/>
      <c r="O919" s="7"/>
      <c r="P919" s="7"/>
      <c r="Q919" s="6"/>
      <c r="R919" s="6"/>
      <c r="S919" s="6"/>
      <c r="T919" s="6"/>
      <c r="U919" s="6"/>
      <c r="V919" s="6"/>
      <c r="W919" s="6"/>
      <c r="X919" s="6"/>
      <c r="Y919" s="6"/>
      <c r="Z919" s="6"/>
    </row>
    <row r="920" ht="15.0" customHeight="1">
      <c r="A920" s="7"/>
      <c r="B920" s="7"/>
      <c r="C920" s="7"/>
      <c r="D920" s="7"/>
      <c r="E920" s="7"/>
      <c r="F920" s="7"/>
      <c r="G920" s="7"/>
      <c r="H920" s="7"/>
      <c r="I920" s="7"/>
      <c r="J920" s="7"/>
      <c r="K920" s="7"/>
      <c r="L920" s="14" t="str">
        <f t="shared" si="1"/>
        <v/>
      </c>
      <c r="M920" s="7"/>
      <c r="N920" s="7"/>
      <c r="O920" s="7"/>
      <c r="P920" s="7"/>
      <c r="Q920" s="6"/>
      <c r="R920" s="6"/>
      <c r="S920" s="6"/>
      <c r="T920" s="6"/>
      <c r="U920" s="6"/>
      <c r="V920" s="6"/>
      <c r="W920" s="6"/>
      <c r="X920" s="6"/>
      <c r="Y920" s="6"/>
      <c r="Z920" s="6"/>
    </row>
    <row r="921" ht="15.0" customHeight="1">
      <c r="A921" s="7"/>
      <c r="B921" s="7"/>
      <c r="C921" s="7"/>
      <c r="D921" s="7"/>
      <c r="E921" s="7"/>
      <c r="F921" s="7"/>
      <c r="G921" s="7"/>
      <c r="H921" s="7"/>
      <c r="I921" s="7"/>
      <c r="J921" s="7"/>
      <c r="K921" s="7"/>
      <c r="L921" s="14" t="str">
        <f t="shared" si="1"/>
        <v/>
      </c>
      <c r="M921" s="7"/>
      <c r="N921" s="7"/>
      <c r="O921" s="7"/>
      <c r="P921" s="7"/>
      <c r="Q921" s="6"/>
      <c r="R921" s="6"/>
      <c r="S921" s="6"/>
      <c r="T921" s="6"/>
      <c r="U921" s="6"/>
      <c r="V921" s="6"/>
      <c r="W921" s="6"/>
      <c r="X921" s="6"/>
      <c r="Y921" s="6"/>
      <c r="Z921" s="6"/>
    </row>
    <row r="922" ht="15.0" customHeight="1">
      <c r="A922" s="7"/>
      <c r="B922" s="7"/>
      <c r="C922" s="7"/>
      <c r="D922" s="7"/>
      <c r="E922" s="7"/>
      <c r="F922" s="7"/>
      <c r="G922" s="7"/>
      <c r="H922" s="7"/>
      <c r="I922" s="7"/>
      <c r="J922" s="7"/>
      <c r="K922" s="7"/>
      <c r="L922" s="14" t="str">
        <f t="shared" si="1"/>
        <v/>
      </c>
      <c r="M922" s="7"/>
      <c r="N922" s="7"/>
      <c r="O922" s="7"/>
      <c r="P922" s="7"/>
      <c r="Q922" s="6"/>
      <c r="R922" s="6"/>
      <c r="S922" s="6"/>
      <c r="T922" s="6"/>
      <c r="U922" s="6"/>
      <c r="V922" s="6"/>
      <c r="W922" s="6"/>
      <c r="X922" s="6"/>
      <c r="Y922" s="6"/>
      <c r="Z922" s="6"/>
    </row>
    <row r="923" ht="15.0" customHeight="1">
      <c r="A923" s="7"/>
      <c r="B923" s="7"/>
      <c r="C923" s="7"/>
      <c r="D923" s="7"/>
      <c r="E923" s="7"/>
      <c r="F923" s="7"/>
      <c r="G923" s="7"/>
      <c r="H923" s="7"/>
      <c r="I923" s="7"/>
      <c r="J923" s="7"/>
      <c r="K923" s="7"/>
      <c r="L923" s="14" t="str">
        <f t="shared" si="1"/>
        <v/>
      </c>
      <c r="M923" s="7"/>
      <c r="N923" s="7"/>
      <c r="O923" s="7"/>
      <c r="P923" s="7"/>
      <c r="Q923" s="6"/>
      <c r="R923" s="6"/>
      <c r="S923" s="6"/>
      <c r="T923" s="6"/>
      <c r="U923" s="6"/>
      <c r="V923" s="6"/>
      <c r="W923" s="6"/>
      <c r="X923" s="6"/>
      <c r="Y923" s="6"/>
      <c r="Z923" s="6"/>
    </row>
    <row r="924" ht="15.0" customHeight="1">
      <c r="A924" s="7"/>
      <c r="B924" s="7"/>
      <c r="C924" s="7"/>
      <c r="D924" s="7"/>
      <c r="E924" s="7"/>
      <c r="F924" s="7"/>
      <c r="G924" s="7"/>
      <c r="H924" s="7"/>
      <c r="I924" s="7"/>
      <c r="J924" s="7"/>
      <c r="K924" s="7"/>
      <c r="L924" s="14" t="str">
        <f t="shared" si="1"/>
        <v/>
      </c>
      <c r="M924" s="7"/>
      <c r="N924" s="7"/>
      <c r="O924" s="7"/>
      <c r="P924" s="7"/>
      <c r="Q924" s="6"/>
      <c r="R924" s="6"/>
      <c r="S924" s="6"/>
      <c r="T924" s="6"/>
      <c r="U924" s="6"/>
      <c r="V924" s="6"/>
      <c r="W924" s="6"/>
      <c r="X924" s="6"/>
      <c r="Y924" s="6"/>
      <c r="Z924" s="6"/>
    </row>
    <row r="925" ht="15.0" customHeight="1">
      <c r="A925" s="7"/>
      <c r="B925" s="7"/>
      <c r="C925" s="7"/>
      <c r="D925" s="7"/>
      <c r="E925" s="7"/>
      <c r="F925" s="7"/>
      <c r="G925" s="7"/>
      <c r="H925" s="7"/>
      <c r="I925" s="7"/>
      <c r="J925" s="7"/>
      <c r="K925" s="7"/>
      <c r="L925" s="14" t="str">
        <f t="shared" si="1"/>
        <v/>
      </c>
      <c r="M925" s="7"/>
      <c r="N925" s="7"/>
      <c r="O925" s="7"/>
      <c r="P925" s="7"/>
      <c r="Q925" s="6"/>
      <c r="R925" s="6"/>
      <c r="S925" s="6"/>
      <c r="T925" s="6"/>
      <c r="U925" s="6"/>
      <c r="V925" s="6"/>
      <c r="W925" s="6"/>
      <c r="X925" s="6"/>
      <c r="Y925" s="6"/>
      <c r="Z925" s="6"/>
    </row>
    <row r="926" ht="15.0" customHeight="1">
      <c r="A926" s="7"/>
      <c r="B926" s="7"/>
      <c r="C926" s="7"/>
      <c r="D926" s="7"/>
      <c r="E926" s="7"/>
      <c r="F926" s="7"/>
      <c r="G926" s="7"/>
      <c r="H926" s="7"/>
      <c r="I926" s="7"/>
      <c r="J926" s="7"/>
      <c r="K926" s="7"/>
      <c r="L926" s="14" t="str">
        <f t="shared" si="1"/>
        <v/>
      </c>
      <c r="M926" s="7"/>
      <c r="N926" s="7"/>
      <c r="O926" s="7"/>
      <c r="P926" s="7"/>
      <c r="Q926" s="6"/>
      <c r="R926" s="6"/>
      <c r="S926" s="6"/>
      <c r="T926" s="6"/>
      <c r="U926" s="6"/>
      <c r="V926" s="6"/>
      <c r="W926" s="6"/>
      <c r="X926" s="6"/>
      <c r="Y926" s="6"/>
      <c r="Z926" s="6"/>
    </row>
    <row r="927" ht="15.0" customHeight="1">
      <c r="A927" s="7"/>
      <c r="B927" s="7"/>
      <c r="C927" s="7"/>
      <c r="D927" s="7"/>
      <c r="E927" s="7"/>
      <c r="F927" s="7"/>
      <c r="G927" s="7"/>
      <c r="H927" s="7"/>
      <c r="I927" s="7"/>
      <c r="J927" s="7"/>
      <c r="K927" s="7"/>
      <c r="L927" s="14" t="str">
        <f t="shared" si="1"/>
        <v/>
      </c>
      <c r="M927" s="7"/>
      <c r="N927" s="7"/>
      <c r="O927" s="7"/>
      <c r="P927" s="7"/>
      <c r="Q927" s="6"/>
      <c r="R927" s="6"/>
      <c r="S927" s="6"/>
      <c r="T927" s="6"/>
      <c r="U927" s="6"/>
      <c r="V927" s="6"/>
      <c r="W927" s="6"/>
      <c r="X927" s="6"/>
      <c r="Y927" s="6"/>
      <c r="Z927" s="6"/>
    </row>
    <row r="928" ht="15.0" customHeight="1">
      <c r="A928" s="7"/>
      <c r="B928" s="7"/>
      <c r="C928" s="7"/>
      <c r="D928" s="7"/>
      <c r="E928" s="7"/>
      <c r="F928" s="7"/>
      <c r="G928" s="7"/>
      <c r="H928" s="7"/>
      <c r="I928" s="7"/>
      <c r="J928" s="7"/>
      <c r="K928" s="7"/>
      <c r="L928" s="14" t="str">
        <f t="shared" si="1"/>
        <v/>
      </c>
      <c r="M928" s="7"/>
      <c r="N928" s="7"/>
      <c r="O928" s="7"/>
      <c r="P928" s="7"/>
      <c r="Q928" s="6"/>
      <c r="R928" s="6"/>
      <c r="S928" s="6"/>
      <c r="T928" s="6"/>
      <c r="U928" s="6"/>
      <c r="V928" s="6"/>
      <c r="W928" s="6"/>
      <c r="X928" s="6"/>
      <c r="Y928" s="6"/>
      <c r="Z928" s="6"/>
    </row>
    <row r="929" ht="15.0" customHeight="1">
      <c r="A929" s="7"/>
      <c r="B929" s="7"/>
      <c r="C929" s="7"/>
      <c r="D929" s="7"/>
      <c r="E929" s="7"/>
      <c r="F929" s="7"/>
      <c r="G929" s="7"/>
      <c r="H929" s="7"/>
      <c r="I929" s="7"/>
      <c r="J929" s="7"/>
      <c r="K929" s="7"/>
      <c r="L929" s="14" t="str">
        <f t="shared" si="1"/>
        <v/>
      </c>
      <c r="M929" s="7"/>
      <c r="N929" s="7"/>
      <c r="O929" s="7"/>
      <c r="P929" s="7"/>
      <c r="Q929" s="6"/>
      <c r="R929" s="6"/>
      <c r="S929" s="6"/>
      <c r="T929" s="6"/>
      <c r="U929" s="6"/>
      <c r="V929" s="6"/>
      <c r="W929" s="6"/>
      <c r="X929" s="6"/>
      <c r="Y929" s="6"/>
      <c r="Z929" s="6"/>
    </row>
    <row r="930" ht="15.0" customHeight="1">
      <c r="A930" s="7"/>
      <c r="B930" s="7"/>
      <c r="C930" s="7"/>
      <c r="D930" s="7"/>
      <c r="E930" s="7"/>
      <c r="F930" s="7"/>
      <c r="G930" s="7"/>
      <c r="H930" s="7"/>
      <c r="I930" s="7"/>
      <c r="J930" s="7"/>
      <c r="K930" s="7"/>
      <c r="L930" s="14" t="str">
        <f t="shared" si="1"/>
        <v/>
      </c>
      <c r="M930" s="7"/>
      <c r="N930" s="7"/>
      <c r="O930" s="7"/>
      <c r="P930" s="7"/>
      <c r="Q930" s="6"/>
      <c r="R930" s="6"/>
      <c r="S930" s="6"/>
      <c r="T930" s="6"/>
      <c r="U930" s="6"/>
      <c r="V930" s="6"/>
      <c r="W930" s="6"/>
      <c r="X930" s="6"/>
      <c r="Y930" s="6"/>
      <c r="Z930" s="6"/>
    </row>
    <row r="931" ht="15.0" customHeight="1">
      <c r="A931" s="7"/>
      <c r="B931" s="7"/>
      <c r="C931" s="7"/>
      <c r="D931" s="7"/>
      <c r="E931" s="7"/>
      <c r="F931" s="7"/>
      <c r="G931" s="7"/>
      <c r="H931" s="7"/>
      <c r="I931" s="7"/>
      <c r="J931" s="7"/>
      <c r="K931" s="7"/>
      <c r="L931" s="14" t="str">
        <f t="shared" si="1"/>
        <v/>
      </c>
      <c r="M931" s="7"/>
      <c r="N931" s="7"/>
      <c r="O931" s="7"/>
      <c r="P931" s="7"/>
      <c r="Q931" s="6"/>
      <c r="R931" s="6"/>
      <c r="S931" s="6"/>
      <c r="T931" s="6"/>
      <c r="U931" s="6"/>
      <c r="V931" s="6"/>
      <c r="W931" s="6"/>
      <c r="X931" s="6"/>
      <c r="Y931" s="6"/>
      <c r="Z931" s="6"/>
    </row>
    <row r="932" ht="15.0" customHeight="1">
      <c r="A932" s="7"/>
      <c r="B932" s="7"/>
      <c r="C932" s="7"/>
      <c r="D932" s="7"/>
      <c r="E932" s="7"/>
      <c r="F932" s="7"/>
      <c r="G932" s="7"/>
      <c r="H932" s="7"/>
      <c r="I932" s="7"/>
      <c r="J932" s="7"/>
      <c r="K932" s="7"/>
      <c r="L932" s="14" t="str">
        <f t="shared" si="1"/>
        <v/>
      </c>
      <c r="M932" s="7"/>
      <c r="N932" s="7"/>
      <c r="O932" s="7"/>
      <c r="P932" s="7"/>
      <c r="Q932" s="6"/>
      <c r="R932" s="6"/>
      <c r="S932" s="6"/>
      <c r="T932" s="6"/>
      <c r="U932" s="6"/>
      <c r="V932" s="6"/>
      <c r="W932" s="6"/>
      <c r="X932" s="6"/>
      <c r="Y932" s="6"/>
      <c r="Z932" s="6"/>
    </row>
    <row r="933" ht="15.0" customHeight="1">
      <c r="A933" s="7"/>
      <c r="B933" s="7"/>
      <c r="C933" s="7"/>
      <c r="D933" s="7"/>
      <c r="E933" s="7"/>
      <c r="F933" s="7"/>
      <c r="G933" s="7"/>
      <c r="H933" s="7"/>
      <c r="I933" s="7"/>
      <c r="J933" s="7"/>
      <c r="K933" s="7"/>
      <c r="L933" s="14" t="str">
        <f t="shared" si="1"/>
        <v/>
      </c>
      <c r="M933" s="7"/>
      <c r="N933" s="7"/>
      <c r="O933" s="7"/>
      <c r="P933" s="7"/>
      <c r="Q933" s="6"/>
      <c r="R933" s="6"/>
      <c r="S933" s="6"/>
      <c r="T933" s="6"/>
      <c r="U933" s="6"/>
      <c r="V933" s="6"/>
      <c r="W933" s="6"/>
      <c r="X933" s="6"/>
      <c r="Y933" s="6"/>
      <c r="Z933" s="6"/>
    </row>
    <row r="934" ht="15.0" customHeight="1">
      <c r="A934" s="7"/>
      <c r="B934" s="7"/>
      <c r="C934" s="7"/>
      <c r="D934" s="7"/>
      <c r="E934" s="7"/>
      <c r="F934" s="7"/>
      <c r="G934" s="7"/>
      <c r="H934" s="7"/>
      <c r="I934" s="7"/>
      <c r="J934" s="7"/>
      <c r="K934" s="7"/>
      <c r="L934" s="14" t="str">
        <f t="shared" si="1"/>
        <v/>
      </c>
      <c r="M934" s="7"/>
      <c r="N934" s="7"/>
      <c r="O934" s="7"/>
      <c r="P934" s="7"/>
      <c r="Q934" s="6"/>
      <c r="R934" s="6"/>
      <c r="S934" s="6"/>
      <c r="T934" s="6"/>
      <c r="U934" s="6"/>
      <c r="V934" s="6"/>
      <c r="W934" s="6"/>
      <c r="X934" s="6"/>
      <c r="Y934" s="6"/>
      <c r="Z934" s="6"/>
    </row>
    <row r="935" ht="15.0" customHeight="1">
      <c r="A935" s="7"/>
      <c r="B935" s="7"/>
      <c r="C935" s="7"/>
      <c r="D935" s="7"/>
      <c r="E935" s="7"/>
      <c r="F935" s="7"/>
      <c r="G935" s="7"/>
      <c r="H935" s="7"/>
      <c r="I935" s="7"/>
      <c r="J935" s="7"/>
      <c r="K935" s="7"/>
      <c r="L935" s="14" t="str">
        <f t="shared" si="1"/>
        <v/>
      </c>
      <c r="M935" s="7"/>
      <c r="N935" s="7"/>
      <c r="O935" s="7"/>
      <c r="P935" s="7"/>
      <c r="Q935" s="6"/>
      <c r="R935" s="6"/>
      <c r="S935" s="6"/>
      <c r="T935" s="6"/>
      <c r="U935" s="6"/>
      <c r="V935" s="6"/>
      <c r="W935" s="6"/>
      <c r="X935" s="6"/>
      <c r="Y935" s="6"/>
      <c r="Z935" s="6"/>
    </row>
    <row r="936" ht="15.0" customHeight="1">
      <c r="A936" s="7"/>
      <c r="B936" s="7"/>
      <c r="C936" s="7"/>
      <c r="D936" s="7"/>
      <c r="E936" s="7"/>
      <c r="F936" s="7"/>
      <c r="G936" s="7"/>
      <c r="H936" s="7"/>
      <c r="I936" s="7"/>
      <c r="J936" s="7"/>
      <c r="K936" s="7"/>
      <c r="L936" s="14" t="str">
        <f t="shared" si="1"/>
        <v/>
      </c>
      <c r="M936" s="7"/>
      <c r="N936" s="7"/>
      <c r="O936" s="7"/>
      <c r="P936" s="7"/>
      <c r="Q936" s="6"/>
      <c r="R936" s="6"/>
      <c r="S936" s="6"/>
      <c r="T936" s="6"/>
      <c r="U936" s="6"/>
      <c r="V936" s="6"/>
      <c r="W936" s="6"/>
      <c r="X936" s="6"/>
      <c r="Y936" s="6"/>
      <c r="Z936" s="6"/>
    </row>
    <row r="937" ht="15.0" customHeight="1">
      <c r="A937" s="7"/>
      <c r="B937" s="7"/>
      <c r="C937" s="7"/>
      <c r="D937" s="7"/>
      <c r="E937" s="7"/>
      <c r="F937" s="7"/>
      <c r="G937" s="7"/>
      <c r="H937" s="7"/>
      <c r="I937" s="7"/>
      <c r="J937" s="7"/>
      <c r="K937" s="7"/>
      <c r="L937" s="14" t="str">
        <f t="shared" si="1"/>
        <v/>
      </c>
      <c r="M937" s="7"/>
      <c r="N937" s="7"/>
      <c r="O937" s="7"/>
      <c r="P937" s="7"/>
      <c r="Q937" s="6"/>
      <c r="R937" s="6"/>
      <c r="S937" s="6"/>
      <c r="T937" s="6"/>
      <c r="U937" s="6"/>
      <c r="V937" s="6"/>
      <c r="W937" s="6"/>
      <c r="X937" s="6"/>
      <c r="Y937" s="6"/>
      <c r="Z937" s="6"/>
    </row>
    <row r="938" ht="15.0" customHeight="1">
      <c r="A938" s="7"/>
      <c r="B938" s="7"/>
      <c r="C938" s="7"/>
      <c r="D938" s="7"/>
      <c r="E938" s="7"/>
      <c r="F938" s="7"/>
      <c r="G938" s="7"/>
      <c r="H938" s="7"/>
      <c r="I938" s="7"/>
      <c r="J938" s="7"/>
      <c r="K938" s="7"/>
      <c r="L938" s="14" t="str">
        <f t="shared" si="1"/>
        <v/>
      </c>
      <c r="M938" s="7"/>
      <c r="N938" s="7"/>
      <c r="O938" s="7"/>
      <c r="P938" s="7"/>
      <c r="Q938" s="6"/>
      <c r="R938" s="6"/>
      <c r="S938" s="6"/>
      <c r="T938" s="6"/>
      <c r="U938" s="6"/>
      <c r="V938" s="6"/>
      <c r="W938" s="6"/>
      <c r="X938" s="6"/>
      <c r="Y938" s="6"/>
      <c r="Z938" s="6"/>
    </row>
    <row r="939" ht="15.0" customHeight="1">
      <c r="A939" s="7"/>
      <c r="B939" s="7"/>
      <c r="C939" s="7"/>
      <c r="D939" s="7"/>
      <c r="E939" s="7"/>
      <c r="F939" s="7"/>
      <c r="G939" s="7"/>
      <c r="H939" s="7"/>
      <c r="I939" s="7"/>
      <c r="J939" s="7"/>
      <c r="K939" s="7"/>
      <c r="L939" s="14" t="str">
        <f t="shared" si="1"/>
        <v/>
      </c>
      <c r="M939" s="7"/>
      <c r="N939" s="7"/>
      <c r="O939" s="7"/>
      <c r="P939" s="7"/>
      <c r="Q939" s="6"/>
      <c r="R939" s="6"/>
      <c r="S939" s="6"/>
      <c r="T939" s="6"/>
      <c r="U939" s="6"/>
      <c r="V939" s="6"/>
      <c r="W939" s="6"/>
      <c r="X939" s="6"/>
      <c r="Y939" s="6"/>
      <c r="Z939" s="6"/>
    </row>
    <row r="940" ht="15.0" customHeight="1">
      <c r="A940" s="7"/>
      <c r="B940" s="7"/>
      <c r="C940" s="7"/>
      <c r="D940" s="7"/>
      <c r="E940" s="7"/>
      <c r="F940" s="7"/>
      <c r="G940" s="7"/>
      <c r="H940" s="7"/>
      <c r="I940" s="7"/>
      <c r="J940" s="7"/>
      <c r="K940" s="7"/>
      <c r="L940" s="14" t="str">
        <f t="shared" si="1"/>
        <v/>
      </c>
      <c r="M940" s="7"/>
      <c r="N940" s="7"/>
      <c r="O940" s="7"/>
      <c r="P940" s="7"/>
      <c r="Q940" s="6"/>
      <c r="R940" s="6"/>
      <c r="S940" s="6"/>
      <c r="T940" s="6"/>
      <c r="U940" s="6"/>
      <c r="V940" s="6"/>
      <c r="W940" s="6"/>
      <c r="X940" s="6"/>
      <c r="Y940" s="6"/>
      <c r="Z940" s="6"/>
    </row>
    <row r="941" ht="15.0" customHeight="1">
      <c r="A941" s="7"/>
      <c r="B941" s="7"/>
      <c r="C941" s="7"/>
      <c r="D941" s="7"/>
      <c r="E941" s="7"/>
      <c r="F941" s="7"/>
      <c r="G941" s="7"/>
      <c r="H941" s="7"/>
      <c r="I941" s="7"/>
      <c r="J941" s="7"/>
      <c r="K941" s="7"/>
      <c r="L941" s="14" t="str">
        <f t="shared" si="1"/>
        <v/>
      </c>
      <c r="M941" s="7"/>
      <c r="N941" s="7"/>
      <c r="O941" s="7"/>
      <c r="P941" s="7"/>
      <c r="Q941" s="6"/>
      <c r="R941" s="6"/>
      <c r="S941" s="6"/>
      <c r="T941" s="6"/>
      <c r="U941" s="6"/>
      <c r="V941" s="6"/>
      <c r="W941" s="6"/>
      <c r="X941" s="6"/>
      <c r="Y941" s="6"/>
      <c r="Z941" s="6"/>
    </row>
    <row r="942" ht="15.0" customHeight="1">
      <c r="A942" s="7"/>
      <c r="B942" s="7"/>
      <c r="C942" s="7"/>
      <c r="D942" s="7"/>
      <c r="E942" s="7"/>
      <c r="F942" s="7"/>
      <c r="G942" s="7"/>
      <c r="H942" s="7"/>
      <c r="I942" s="7"/>
      <c r="J942" s="7"/>
      <c r="K942" s="7"/>
      <c r="L942" s="14" t="str">
        <f t="shared" si="1"/>
        <v/>
      </c>
      <c r="M942" s="7"/>
      <c r="N942" s="7"/>
      <c r="O942" s="7"/>
      <c r="P942" s="7"/>
      <c r="Q942" s="6"/>
      <c r="R942" s="6"/>
      <c r="S942" s="6"/>
      <c r="T942" s="6"/>
      <c r="U942" s="6"/>
      <c r="V942" s="6"/>
      <c r="W942" s="6"/>
      <c r="X942" s="6"/>
      <c r="Y942" s="6"/>
      <c r="Z942" s="6"/>
    </row>
    <row r="943" ht="15.0" customHeight="1">
      <c r="A943" s="7"/>
      <c r="B943" s="7"/>
      <c r="C943" s="7"/>
      <c r="D943" s="7"/>
      <c r="E943" s="7"/>
      <c r="F943" s="7"/>
      <c r="G943" s="7"/>
      <c r="H943" s="7"/>
      <c r="I943" s="7"/>
      <c r="J943" s="7"/>
      <c r="K943" s="7"/>
      <c r="L943" s="14" t="str">
        <f t="shared" si="1"/>
        <v/>
      </c>
      <c r="M943" s="7"/>
      <c r="N943" s="7"/>
      <c r="O943" s="7"/>
      <c r="P943" s="7"/>
      <c r="Q943" s="6"/>
      <c r="R943" s="6"/>
      <c r="S943" s="6"/>
      <c r="T943" s="6"/>
      <c r="U943" s="6"/>
      <c r="V943" s="6"/>
      <c r="W943" s="6"/>
      <c r="X943" s="6"/>
      <c r="Y943" s="6"/>
      <c r="Z943" s="6"/>
    </row>
    <row r="944" ht="15.0" customHeight="1">
      <c r="A944" s="7"/>
      <c r="B944" s="7"/>
      <c r="C944" s="7"/>
      <c r="D944" s="7"/>
      <c r="E944" s="7"/>
      <c r="F944" s="7"/>
      <c r="G944" s="7"/>
      <c r="H944" s="7"/>
      <c r="I944" s="7"/>
      <c r="J944" s="7"/>
      <c r="K944" s="7"/>
      <c r="L944" s="14" t="str">
        <f t="shared" si="1"/>
        <v/>
      </c>
      <c r="M944" s="7"/>
      <c r="N944" s="7"/>
      <c r="O944" s="7"/>
      <c r="P944" s="7"/>
      <c r="Q944" s="6"/>
      <c r="R944" s="6"/>
      <c r="S944" s="6"/>
      <c r="T944" s="6"/>
      <c r="U944" s="6"/>
      <c r="V944" s="6"/>
      <c r="W944" s="6"/>
      <c r="X944" s="6"/>
      <c r="Y944" s="6"/>
      <c r="Z944" s="6"/>
    </row>
    <row r="945" ht="15.0" customHeight="1">
      <c r="A945" s="7"/>
      <c r="B945" s="7"/>
      <c r="C945" s="7"/>
      <c r="D945" s="7"/>
      <c r="E945" s="7"/>
      <c r="F945" s="7"/>
      <c r="G945" s="7"/>
      <c r="H945" s="7"/>
      <c r="I945" s="7"/>
      <c r="J945" s="7"/>
      <c r="K945" s="7"/>
      <c r="L945" s="14" t="str">
        <f t="shared" si="1"/>
        <v/>
      </c>
      <c r="M945" s="7"/>
      <c r="N945" s="7"/>
      <c r="O945" s="7"/>
      <c r="P945" s="7"/>
      <c r="Q945" s="6"/>
      <c r="R945" s="6"/>
      <c r="S945" s="6"/>
      <c r="T945" s="6"/>
      <c r="U945" s="6"/>
      <c r="V945" s="6"/>
      <c r="W945" s="6"/>
      <c r="X945" s="6"/>
      <c r="Y945" s="6"/>
      <c r="Z945" s="6"/>
    </row>
    <row r="946" ht="15.0" customHeight="1">
      <c r="A946" s="7"/>
      <c r="B946" s="7"/>
      <c r="C946" s="7"/>
      <c r="D946" s="7"/>
      <c r="E946" s="7"/>
      <c r="F946" s="7"/>
      <c r="G946" s="7"/>
      <c r="H946" s="7"/>
      <c r="I946" s="7"/>
      <c r="J946" s="7"/>
      <c r="K946" s="7"/>
      <c r="L946" s="14" t="str">
        <f t="shared" si="1"/>
        <v/>
      </c>
      <c r="M946" s="7"/>
      <c r="N946" s="7"/>
      <c r="O946" s="7"/>
      <c r="P946" s="7"/>
      <c r="Q946" s="6"/>
      <c r="R946" s="6"/>
      <c r="S946" s="6"/>
      <c r="T946" s="6"/>
      <c r="U946" s="6"/>
      <c r="V946" s="6"/>
      <c r="W946" s="6"/>
      <c r="X946" s="6"/>
      <c r="Y946" s="6"/>
      <c r="Z946" s="6"/>
    </row>
    <row r="947" ht="15.0" customHeight="1">
      <c r="A947" s="7"/>
      <c r="B947" s="7"/>
      <c r="C947" s="7"/>
      <c r="D947" s="7"/>
      <c r="E947" s="7"/>
      <c r="F947" s="7"/>
      <c r="G947" s="7"/>
      <c r="H947" s="7"/>
      <c r="I947" s="7"/>
      <c r="J947" s="7"/>
      <c r="K947" s="7"/>
      <c r="L947" s="14" t="str">
        <f t="shared" si="1"/>
        <v/>
      </c>
      <c r="M947" s="7"/>
      <c r="N947" s="7"/>
      <c r="O947" s="7"/>
      <c r="P947" s="7"/>
      <c r="Q947" s="6"/>
      <c r="R947" s="6"/>
      <c r="S947" s="6"/>
      <c r="T947" s="6"/>
      <c r="U947" s="6"/>
      <c r="V947" s="6"/>
      <c r="W947" s="6"/>
      <c r="X947" s="6"/>
      <c r="Y947" s="6"/>
      <c r="Z947" s="6"/>
    </row>
    <row r="948" ht="15.0" customHeight="1">
      <c r="A948" s="7"/>
      <c r="B948" s="7"/>
      <c r="C948" s="7"/>
      <c r="D948" s="7"/>
      <c r="E948" s="7"/>
      <c r="F948" s="7"/>
      <c r="G948" s="7"/>
      <c r="H948" s="7"/>
      <c r="I948" s="7"/>
      <c r="J948" s="7"/>
      <c r="K948" s="7"/>
      <c r="L948" s="14" t="str">
        <f t="shared" si="1"/>
        <v/>
      </c>
      <c r="M948" s="7"/>
      <c r="N948" s="7"/>
      <c r="O948" s="7"/>
      <c r="P948" s="7"/>
      <c r="Q948" s="6"/>
      <c r="R948" s="6"/>
      <c r="S948" s="6"/>
      <c r="T948" s="6"/>
      <c r="U948" s="6"/>
      <c r="V948" s="6"/>
      <c r="W948" s="6"/>
      <c r="X948" s="6"/>
      <c r="Y948" s="6"/>
      <c r="Z948" s="6"/>
    </row>
    <row r="949" ht="15.0" customHeight="1">
      <c r="A949" s="7"/>
      <c r="B949" s="7"/>
      <c r="C949" s="7"/>
      <c r="D949" s="7"/>
      <c r="E949" s="7"/>
      <c r="F949" s="7"/>
      <c r="G949" s="7"/>
      <c r="H949" s="7"/>
      <c r="I949" s="7"/>
      <c r="J949" s="7"/>
      <c r="K949" s="7"/>
      <c r="L949" s="14" t="str">
        <f t="shared" si="1"/>
        <v/>
      </c>
      <c r="M949" s="7"/>
      <c r="N949" s="7"/>
      <c r="O949" s="7"/>
      <c r="P949" s="7"/>
      <c r="Q949" s="6"/>
      <c r="R949" s="6"/>
      <c r="S949" s="6"/>
      <c r="T949" s="6"/>
      <c r="U949" s="6"/>
      <c r="V949" s="6"/>
      <c r="W949" s="6"/>
      <c r="X949" s="6"/>
      <c r="Y949" s="6"/>
      <c r="Z949" s="6"/>
    </row>
    <row r="950" ht="15.0" customHeight="1">
      <c r="A950" s="7"/>
      <c r="B950" s="7"/>
      <c r="C950" s="7"/>
      <c r="D950" s="7"/>
      <c r="E950" s="7"/>
      <c r="F950" s="7"/>
      <c r="G950" s="7"/>
      <c r="H950" s="7"/>
      <c r="I950" s="7"/>
      <c r="J950" s="7"/>
      <c r="K950" s="7"/>
      <c r="L950" s="14" t="str">
        <f t="shared" si="1"/>
        <v/>
      </c>
      <c r="M950" s="7"/>
      <c r="N950" s="7"/>
      <c r="O950" s="7"/>
      <c r="P950" s="7"/>
      <c r="Q950" s="6"/>
      <c r="R950" s="6"/>
      <c r="S950" s="6"/>
      <c r="T950" s="6"/>
      <c r="U950" s="6"/>
      <c r="V950" s="6"/>
      <c r="W950" s="6"/>
      <c r="X950" s="6"/>
      <c r="Y950" s="6"/>
      <c r="Z950" s="6"/>
    </row>
    <row r="951" ht="15.0" customHeight="1">
      <c r="A951" s="7"/>
      <c r="B951" s="7"/>
      <c r="C951" s="7"/>
      <c r="D951" s="7"/>
      <c r="E951" s="7"/>
      <c r="F951" s="7"/>
      <c r="G951" s="7"/>
      <c r="H951" s="7"/>
      <c r="I951" s="7"/>
      <c r="J951" s="7"/>
      <c r="K951" s="7"/>
      <c r="L951" s="14" t="str">
        <f t="shared" si="1"/>
        <v/>
      </c>
      <c r="M951" s="7"/>
      <c r="N951" s="7"/>
      <c r="O951" s="7"/>
      <c r="P951" s="7"/>
      <c r="Q951" s="6"/>
      <c r="R951" s="6"/>
      <c r="S951" s="6"/>
      <c r="T951" s="6"/>
      <c r="U951" s="6"/>
      <c r="V951" s="6"/>
      <c r="W951" s="6"/>
      <c r="X951" s="6"/>
      <c r="Y951" s="6"/>
      <c r="Z951" s="6"/>
    </row>
    <row r="952" ht="15.0" customHeight="1">
      <c r="A952" s="7"/>
      <c r="B952" s="7"/>
      <c r="C952" s="7"/>
      <c r="D952" s="7"/>
      <c r="E952" s="7"/>
      <c r="F952" s="7"/>
      <c r="G952" s="7"/>
      <c r="H952" s="7"/>
      <c r="I952" s="7"/>
      <c r="J952" s="7"/>
      <c r="K952" s="7"/>
      <c r="L952" s="14" t="str">
        <f t="shared" si="1"/>
        <v/>
      </c>
      <c r="M952" s="7"/>
      <c r="N952" s="7"/>
      <c r="O952" s="7"/>
      <c r="P952" s="7"/>
      <c r="Q952" s="6"/>
      <c r="R952" s="6"/>
      <c r="S952" s="6"/>
      <c r="T952" s="6"/>
      <c r="U952" s="6"/>
      <c r="V952" s="6"/>
      <c r="W952" s="6"/>
      <c r="X952" s="6"/>
      <c r="Y952" s="6"/>
      <c r="Z952" s="6"/>
    </row>
    <row r="953" ht="15.0" customHeight="1">
      <c r="A953" s="7"/>
      <c r="B953" s="7"/>
      <c r="C953" s="7"/>
      <c r="D953" s="7"/>
      <c r="E953" s="7"/>
      <c r="F953" s="7"/>
      <c r="G953" s="7"/>
      <c r="H953" s="7"/>
      <c r="I953" s="7"/>
      <c r="J953" s="7"/>
      <c r="K953" s="7"/>
      <c r="L953" s="14" t="str">
        <f t="shared" si="1"/>
        <v/>
      </c>
      <c r="M953" s="7"/>
      <c r="N953" s="7"/>
      <c r="O953" s="7"/>
      <c r="P953" s="7"/>
      <c r="Q953" s="6"/>
      <c r="R953" s="6"/>
      <c r="S953" s="6"/>
      <c r="T953" s="6"/>
      <c r="U953" s="6"/>
      <c r="V953" s="6"/>
      <c r="W953" s="6"/>
      <c r="X953" s="6"/>
      <c r="Y953" s="6"/>
      <c r="Z953" s="6"/>
    </row>
    <row r="954" ht="15.0" customHeight="1">
      <c r="A954" s="7"/>
      <c r="B954" s="7"/>
      <c r="C954" s="7"/>
      <c r="D954" s="7"/>
      <c r="E954" s="7"/>
      <c r="F954" s="7"/>
      <c r="G954" s="7"/>
      <c r="H954" s="7"/>
      <c r="I954" s="7"/>
      <c r="J954" s="7"/>
      <c r="K954" s="7"/>
      <c r="L954" s="14" t="str">
        <f t="shared" si="1"/>
        <v/>
      </c>
      <c r="M954" s="7"/>
      <c r="N954" s="7"/>
      <c r="O954" s="7"/>
      <c r="P954" s="7"/>
      <c r="Q954" s="6"/>
      <c r="R954" s="6"/>
      <c r="S954" s="6"/>
      <c r="T954" s="6"/>
      <c r="U954" s="6"/>
      <c r="V954" s="6"/>
      <c r="W954" s="6"/>
      <c r="X954" s="6"/>
      <c r="Y954" s="6"/>
      <c r="Z954" s="6"/>
    </row>
    <row r="955" ht="15.0" customHeight="1">
      <c r="A955" s="7"/>
      <c r="B955" s="7"/>
      <c r="C955" s="7"/>
      <c r="D955" s="7"/>
      <c r="E955" s="7"/>
      <c r="F955" s="7"/>
      <c r="G955" s="7"/>
      <c r="H955" s="7"/>
      <c r="I955" s="7"/>
      <c r="J955" s="7"/>
      <c r="K955" s="7"/>
      <c r="L955" s="14" t="str">
        <f t="shared" si="1"/>
        <v/>
      </c>
      <c r="M955" s="7"/>
      <c r="N955" s="7"/>
      <c r="O955" s="7"/>
      <c r="P955" s="7"/>
      <c r="Q955" s="6"/>
      <c r="R955" s="6"/>
      <c r="S955" s="6"/>
      <c r="T955" s="6"/>
      <c r="U955" s="6"/>
      <c r="V955" s="6"/>
      <c r="W955" s="6"/>
      <c r="X955" s="6"/>
      <c r="Y955" s="6"/>
      <c r="Z955" s="6"/>
    </row>
    <row r="956" ht="15.0" customHeight="1">
      <c r="A956" s="7"/>
      <c r="B956" s="7"/>
      <c r="C956" s="7"/>
      <c r="D956" s="7"/>
      <c r="E956" s="7"/>
      <c r="F956" s="7"/>
      <c r="G956" s="7"/>
      <c r="H956" s="7"/>
      <c r="I956" s="7"/>
      <c r="J956" s="7"/>
      <c r="K956" s="7"/>
      <c r="L956" s="14" t="str">
        <f t="shared" si="1"/>
        <v/>
      </c>
      <c r="M956" s="7"/>
      <c r="N956" s="7"/>
      <c r="O956" s="7"/>
      <c r="P956" s="7"/>
      <c r="Q956" s="6"/>
      <c r="R956" s="6"/>
      <c r="S956" s="6"/>
      <c r="T956" s="6"/>
      <c r="U956" s="6"/>
      <c r="V956" s="6"/>
      <c r="W956" s="6"/>
      <c r="X956" s="6"/>
      <c r="Y956" s="6"/>
      <c r="Z956" s="6"/>
    </row>
    <row r="957" ht="15.0" customHeight="1">
      <c r="A957" s="7"/>
      <c r="B957" s="7"/>
      <c r="C957" s="7"/>
      <c r="D957" s="7"/>
      <c r="E957" s="7"/>
      <c r="F957" s="7"/>
      <c r="G957" s="7"/>
      <c r="H957" s="7"/>
      <c r="I957" s="7"/>
      <c r="J957" s="7"/>
      <c r="K957" s="7"/>
      <c r="L957" s="14" t="str">
        <f t="shared" si="1"/>
        <v/>
      </c>
      <c r="M957" s="7"/>
      <c r="N957" s="7"/>
      <c r="O957" s="7"/>
      <c r="P957" s="7"/>
      <c r="Q957" s="6"/>
      <c r="R957" s="6"/>
      <c r="S957" s="6"/>
      <c r="T957" s="6"/>
      <c r="U957" s="6"/>
      <c r="V957" s="6"/>
      <c r="W957" s="6"/>
      <c r="X957" s="6"/>
      <c r="Y957" s="6"/>
      <c r="Z957" s="6"/>
    </row>
    <row r="958" ht="15.0" customHeight="1">
      <c r="A958" s="7"/>
      <c r="B958" s="7"/>
      <c r="C958" s="7"/>
      <c r="D958" s="7"/>
      <c r="E958" s="7"/>
      <c r="F958" s="7"/>
      <c r="G958" s="7"/>
      <c r="H958" s="7"/>
      <c r="I958" s="7"/>
      <c r="J958" s="7"/>
      <c r="K958" s="7"/>
      <c r="L958" s="14" t="str">
        <f t="shared" si="1"/>
        <v/>
      </c>
      <c r="M958" s="7"/>
      <c r="N958" s="7"/>
      <c r="O958" s="7"/>
      <c r="P958" s="7"/>
      <c r="Q958" s="6"/>
      <c r="R958" s="6"/>
      <c r="S958" s="6"/>
      <c r="T958" s="6"/>
      <c r="U958" s="6"/>
      <c r="V958" s="6"/>
      <c r="W958" s="6"/>
      <c r="X958" s="6"/>
      <c r="Y958" s="6"/>
      <c r="Z958" s="6"/>
    </row>
    <row r="959" ht="15.0" customHeight="1">
      <c r="A959" s="7"/>
      <c r="B959" s="7"/>
      <c r="C959" s="7"/>
      <c r="D959" s="7"/>
      <c r="E959" s="7"/>
      <c r="F959" s="7"/>
      <c r="G959" s="7"/>
      <c r="H959" s="7"/>
      <c r="I959" s="7"/>
      <c r="J959" s="7"/>
      <c r="K959" s="7"/>
      <c r="L959" s="14" t="str">
        <f t="shared" si="1"/>
        <v/>
      </c>
      <c r="M959" s="7"/>
      <c r="N959" s="7"/>
      <c r="O959" s="7"/>
      <c r="P959" s="7"/>
      <c r="Q959" s="6"/>
      <c r="R959" s="6"/>
      <c r="S959" s="6"/>
      <c r="T959" s="6"/>
      <c r="U959" s="6"/>
      <c r="V959" s="6"/>
      <c r="W959" s="6"/>
      <c r="X959" s="6"/>
      <c r="Y959" s="6"/>
      <c r="Z959" s="6"/>
    </row>
    <row r="960" ht="15.0" customHeight="1">
      <c r="A960" s="7"/>
      <c r="B960" s="7"/>
      <c r="C960" s="7"/>
      <c r="D960" s="7"/>
      <c r="E960" s="7"/>
      <c r="F960" s="7"/>
      <c r="G960" s="7"/>
      <c r="H960" s="7"/>
      <c r="I960" s="7"/>
      <c r="J960" s="7"/>
      <c r="K960" s="7"/>
      <c r="L960" s="14" t="str">
        <f t="shared" si="1"/>
        <v/>
      </c>
      <c r="M960" s="7"/>
      <c r="N960" s="7"/>
      <c r="O960" s="7"/>
      <c r="P960" s="7"/>
      <c r="Q960" s="6"/>
      <c r="R960" s="6"/>
      <c r="S960" s="6"/>
      <c r="T960" s="6"/>
      <c r="U960" s="6"/>
      <c r="V960" s="6"/>
      <c r="W960" s="6"/>
      <c r="X960" s="6"/>
      <c r="Y960" s="6"/>
      <c r="Z960" s="6"/>
    </row>
    <row r="961" ht="15.0" customHeight="1">
      <c r="A961" s="7"/>
      <c r="B961" s="7"/>
      <c r="C961" s="7"/>
      <c r="D961" s="7"/>
      <c r="E961" s="7"/>
      <c r="F961" s="7"/>
      <c r="G961" s="7"/>
      <c r="H961" s="7"/>
      <c r="I961" s="7"/>
      <c r="J961" s="7"/>
      <c r="K961" s="7"/>
      <c r="L961" s="14" t="str">
        <f t="shared" si="1"/>
        <v/>
      </c>
      <c r="M961" s="7"/>
      <c r="N961" s="7"/>
      <c r="O961" s="7"/>
      <c r="P961" s="7"/>
      <c r="Q961" s="6"/>
      <c r="R961" s="6"/>
      <c r="S961" s="6"/>
      <c r="T961" s="6"/>
      <c r="U961" s="6"/>
      <c r="V961" s="6"/>
      <c r="W961" s="6"/>
      <c r="X961" s="6"/>
      <c r="Y961" s="6"/>
      <c r="Z961" s="6"/>
    </row>
    <row r="962" ht="15.0" customHeight="1">
      <c r="A962" s="7"/>
      <c r="B962" s="7"/>
      <c r="C962" s="7"/>
      <c r="D962" s="7"/>
      <c r="E962" s="7"/>
      <c r="F962" s="7"/>
      <c r="G962" s="7"/>
      <c r="H962" s="7"/>
      <c r="I962" s="7"/>
      <c r="J962" s="7"/>
      <c r="K962" s="7"/>
      <c r="L962" s="14" t="str">
        <f t="shared" si="1"/>
        <v/>
      </c>
      <c r="M962" s="7"/>
      <c r="N962" s="7"/>
      <c r="O962" s="7"/>
      <c r="P962" s="7"/>
      <c r="Q962" s="6"/>
      <c r="R962" s="6"/>
      <c r="S962" s="6"/>
      <c r="T962" s="6"/>
      <c r="U962" s="6"/>
      <c r="V962" s="6"/>
      <c r="W962" s="6"/>
      <c r="X962" s="6"/>
      <c r="Y962" s="6"/>
      <c r="Z962" s="6"/>
    </row>
    <row r="963" ht="15.0" customHeight="1">
      <c r="A963" s="7"/>
      <c r="B963" s="7"/>
      <c r="C963" s="7"/>
      <c r="D963" s="7"/>
      <c r="E963" s="7"/>
      <c r="F963" s="7"/>
      <c r="G963" s="7"/>
      <c r="H963" s="7"/>
      <c r="I963" s="7"/>
      <c r="J963" s="7"/>
      <c r="K963" s="7"/>
      <c r="L963" s="14" t="str">
        <f t="shared" si="1"/>
        <v/>
      </c>
      <c r="M963" s="7"/>
      <c r="N963" s="7"/>
      <c r="O963" s="7"/>
      <c r="P963" s="7"/>
      <c r="Q963" s="6"/>
      <c r="R963" s="6"/>
      <c r="S963" s="6"/>
      <c r="T963" s="6"/>
      <c r="U963" s="6"/>
      <c r="V963" s="6"/>
      <c r="W963" s="6"/>
      <c r="X963" s="6"/>
      <c r="Y963" s="6"/>
      <c r="Z963" s="6"/>
    </row>
    <row r="964" ht="15.0" customHeight="1">
      <c r="A964" s="7"/>
      <c r="B964" s="7"/>
      <c r="C964" s="7"/>
      <c r="D964" s="7"/>
      <c r="E964" s="7"/>
      <c r="F964" s="7"/>
      <c r="G964" s="7"/>
      <c r="H964" s="7"/>
      <c r="I964" s="7"/>
      <c r="J964" s="7"/>
      <c r="K964" s="7"/>
      <c r="L964" s="14" t="str">
        <f t="shared" si="1"/>
        <v/>
      </c>
      <c r="M964" s="7"/>
      <c r="N964" s="7"/>
      <c r="O964" s="7"/>
      <c r="P964" s="7"/>
      <c r="Q964" s="6"/>
      <c r="R964" s="6"/>
      <c r="S964" s="6"/>
      <c r="T964" s="6"/>
      <c r="U964" s="6"/>
      <c r="V964" s="6"/>
      <c r="W964" s="6"/>
      <c r="X964" s="6"/>
      <c r="Y964" s="6"/>
      <c r="Z964" s="6"/>
    </row>
    <row r="965" ht="15.0" customHeight="1">
      <c r="A965" s="7"/>
      <c r="B965" s="7"/>
      <c r="C965" s="7"/>
      <c r="D965" s="7"/>
      <c r="E965" s="7"/>
      <c r="F965" s="7"/>
      <c r="G965" s="7"/>
      <c r="H965" s="7"/>
      <c r="I965" s="7"/>
      <c r="J965" s="7"/>
      <c r="K965" s="7"/>
      <c r="L965" s="14" t="str">
        <f t="shared" si="1"/>
        <v/>
      </c>
      <c r="M965" s="7"/>
      <c r="N965" s="7"/>
      <c r="O965" s="7"/>
      <c r="P965" s="7"/>
      <c r="Q965" s="6"/>
      <c r="R965" s="6"/>
      <c r="S965" s="6"/>
      <c r="T965" s="6"/>
      <c r="U965" s="6"/>
      <c r="V965" s="6"/>
      <c r="W965" s="6"/>
      <c r="X965" s="6"/>
      <c r="Y965" s="6"/>
      <c r="Z965" s="6"/>
    </row>
    <row r="966" ht="15.0" customHeight="1">
      <c r="A966" s="7"/>
      <c r="B966" s="7"/>
      <c r="C966" s="7"/>
      <c r="D966" s="7"/>
      <c r="E966" s="7"/>
      <c r="F966" s="7"/>
      <c r="G966" s="7"/>
      <c r="H966" s="7"/>
      <c r="I966" s="7"/>
      <c r="J966" s="7"/>
      <c r="K966" s="7"/>
      <c r="L966" s="14" t="str">
        <f t="shared" si="1"/>
        <v/>
      </c>
      <c r="M966" s="7"/>
      <c r="N966" s="7"/>
      <c r="O966" s="7"/>
      <c r="P966" s="7"/>
      <c r="Q966" s="6"/>
      <c r="R966" s="6"/>
      <c r="S966" s="6"/>
      <c r="T966" s="6"/>
      <c r="U966" s="6"/>
      <c r="V966" s="6"/>
      <c r="W966" s="6"/>
      <c r="X966" s="6"/>
      <c r="Y966" s="6"/>
      <c r="Z966" s="6"/>
    </row>
    <row r="967" ht="15.0" customHeight="1">
      <c r="A967" s="7"/>
      <c r="B967" s="7"/>
      <c r="C967" s="7"/>
      <c r="D967" s="7"/>
      <c r="E967" s="7"/>
      <c r="F967" s="7"/>
      <c r="G967" s="7"/>
      <c r="H967" s="7"/>
      <c r="I967" s="7"/>
      <c r="J967" s="7"/>
      <c r="K967" s="7"/>
      <c r="L967" s="14" t="str">
        <f t="shared" si="1"/>
        <v/>
      </c>
      <c r="M967" s="7"/>
      <c r="N967" s="7"/>
      <c r="O967" s="7"/>
      <c r="P967" s="7"/>
      <c r="Q967" s="6"/>
      <c r="R967" s="6"/>
      <c r="S967" s="6"/>
      <c r="T967" s="6"/>
      <c r="U967" s="6"/>
      <c r="V967" s="6"/>
      <c r="W967" s="6"/>
      <c r="X967" s="6"/>
      <c r="Y967" s="6"/>
      <c r="Z967" s="6"/>
    </row>
    <row r="968" ht="15.0" customHeight="1">
      <c r="A968" s="7"/>
      <c r="B968" s="7"/>
      <c r="C968" s="7"/>
      <c r="D968" s="7"/>
      <c r="E968" s="7"/>
      <c r="F968" s="7"/>
      <c r="G968" s="7"/>
      <c r="H968" s="7"/>
      <c r="I968" s="7"/>
      <c r="J968" s="7"/>
      <c r="K968" s="7"/>
      <c r="L968" s="14" t="str">
        <f t="shared" si="1"/>
        <v/>
      </c>
      <c r="M968" s="7"/>
      <c r="N968" s="7"/>
      <c r="O968" s="7"/>
      <c r="P968" s="7"/>
      <c r="Q968" s="6"/>
      <c r="R968" s="6"/>
      <c r="S968" s="6"/>
      <c r="T968" s="6"/>
      <c r="U968" s="6"/>
      <c r="V968" s="6"/>
      <c r="W968" s="6"/>
      <c r="X968" s="6"/>
      <c r="Y968" s="6"/>
      <c r="Z968" s="6"/>
    </row>
    <row r="969" ht="15.0" customHeight="1">
      <c r="A969" s="7"/>
      <c r="B969" s="7"/>
      <c r="C969" s="7"/>
      <c r="D969" s="7"/>
      <c r="E969" s="7"/>
      <c r="F969" s="7"/>
      <c r="G969" s="7"/>
      <c r="H969" s="7"/>
      <c r="I969" s="7"/>
      <c r="J969" s="7"/>
      <c r="K969" s="7"/>
      <c r="L969" s="14" t="str">
        <f t="shared" si="1"/>
        <v/>
      </c>
      <c r="M969" s="7"/>
      <c r="N969" s="7"/>
      <c r="O969" s="7"/>
      <c r="P969" s="7"/>
      <c r="Q969" s="6"/>
      <c r="R969" s="6"/>
      <c r="S969" s="6"/>
      <c r="T969" s="6"/>
      <c r="U969" s="6"/>
      <c r="V969" s="6"/>
      <c r="W969" s="6"/>
      <c r="X969" s="6"/>
      <c r="Y969" s="6"/>
      <c r="Z969" s="6"/>
    </row>
    <row r="970" ht="15.0" customHeight="1">
      <c r="A970" s="7"/>
      <c r="B970" s="7"/>
      <c r="C970" s="7"/>
      <c r="D970" s="7"/>
      <c r="E970" s="7"/>
      <c r="F970" s="7"/>
      <c r="G970" s="7"/>
      <c r="H970" s="7"/>
      <c r="I970" s="7"/>
      <c r="J970" s="7"/>
      <c r="K970" s="7"/>
      <c r="L970" s="14" t="str">
        <f t="shared" si="1"/>
        <v/>
      </c>
      <c r="M970" s="7"/>
      <c r="N970" s="7"/>
      <c r="O970" s="7"/>
      <c r="P970" s="7"/>
      <c r="Q970" s="6"/>
      <c r="R970" s="6"/>
      <c r="S970" s="6"/>
      <c r="T970" s="6"/>
      <c r="U970" s="6"/>
      <c r="V970" s="6"/>
      <c r="W970" s="6"/>
      <c r="X970" s="6"/>
      <c r="Y970" s="6"/>
      <c r="Z970" s="6"/>
    </row>
    <row r="971" ht="15.0" customHeight="1">
      <c r="A971" s="7"/>
      <c r="B971" s="7"/>
      <c r="C971" s="7"/>
      <c r="D971" s="7"/>
      <c r="E971" s="7"/>
      <c r="F971" s="7"/>
      <c r="G971" s="7"/>
      <c r="H971" s="7"/>
      <c r="I971" s="7"/>
      <c r="J971" s="7"/>
      <c r="K971" s="7"/>
      <c r="L971" s="14" t="str">
        <f t="shared" si="1"/>
        <v/>
      </c>
      <c r="M971" s="7"/>
      <c r="N971" s="7"/>
      <c r="O971" s="7"/>
      <c r="P971" s="7"/>
      <c r="Q971" s="6"/>
      <c r="R971" s="6"/>
      <c r="S971" s="6"/>
      <c r="T971" s="6"/>
      <c r="U971" s="6"/>
      <c r="V971" s="6"/>
      <c r="W971" s="6"/>
      <c r="X971" s="6"/>
      <c r="Y971" s="6"/>
      <c r="Z971" s="6"/>
    </row>
    <row r="972" ht="15.0" customHeight="1">
      <c r="A972" s="7"/>
      <c r="B972" s="7"/>
      <c r="C972" s="7"/>
      <c r="D972" s="7"/>
      <c r="E972" s="7"/>
      <c r="F972" s="7"/>
      <c r="G972" s="7"/>
      <c r="H972" s="7"/>
      <c r="I972" s="7"/>
      <c r="J972" s="7"/>
      <c r="K972" s="7"/>
      <c r="L972" s="14" t="str">
        <f t="shared" si="1"/>
        <v/>
      </c>
      <c r="M972" s="7"/>
      <c r="N972" s="7"/>
      <c r="O972" s="7"/>
      <c r="P972" s="7"/>
      <c r="Q972" s="6"/>
      <c r="R972" s="6"/>
      <c r="S972" s="6"/>
      <c r="T972" s="6"/>
      <c r="U972" s="6"/>
      <c r="V972" s="6"/>
      <c r="W972" s="6"/>
      <c r="X972" s="6"/>
      <c r="Y972" s="6"/>
      <c r="Z972" s="6"/>
    </row>
    <row r="973" ht="15.0" customHeight="1">
      <c r="A973" s="7"/>
      <c r="B973" s="7"/>
      <c r="C973" s="7"/>
      <c r="D973" s="7"/>
      <c r="E973" s="7"/>
      <c r="F973" s="7"/>
      <c r="G973" s="7"/>
      <c r="H973" s="7"/>
      <c r="I973" s="7"/>
      <c r="J973" s="7"/>
      <c r="K973" s="7"/>
      <c r="L973" s="14" t="str">
        <f t="shared" si="1"/>
        <v/>
      </c>
      <c r="M973" s="7"/>
      <c r="N973" s="7"/>
      <c r="O973" s="7"/>
      <c r="P973" s="7"/>
      <c r="Q973" s="6"/>
      <c r="R973" s="6"/>
      <c r="S973" s="6"/>
      <c r="T973" s="6"/>
      <c r="U973" s="6"/>
      <c r="V973" s="6"/>
      <c r="W973" s="6"/>
      <c r="X973" s="6"/>
      <c r="Y973" s="6"/>
      <c r="Z973" s="6"/>
    </row>
    <row r="974" ht="15.0" customHeight="1">
      <c r="A974" s="7"/>
      <c r="B974" s="7"/>
      <c r="C974" s="7"/>
      <c r="D974" s="7"/>
      <c r="E974" s="7"/>
      <c r="F974" s="7"/>
      <c r="G974" s="7"/>
      <c r="H974" s="7"/>
      <c r="I974" s="7"/>
      <c r="J974" s="7"/>
      <c r="K974" s="7"/>
      <c r="L974" s="14" t="str">
        <f t="shared" si="1"/>
        <v/>
      </c>
      <c r="M974" s="7"/>
      <c r="N974" s="7"/>
      <c r="O974" s="7"/>
      <c r="P974" s="7"/>
      <c r="Q974" s="6"/>
      <c r="R974" s="6"/>
      <c r="S974" s="6"/>
      <c r="T974" s="6"/>
      <c r="U974" s="6"/>
      <c r="V974" s="6"/>
      <c r="W974" s="6"/>
      <c r="X974" s="6"/>
      <c r="Y974" s="6"/>
      <c r="Z974" s="6"/>
    </row>
    <row r="975" ht="15.0" customHeight="1">
      <c r="A975" s="7"/>
      <c r="B975" s="7"/>
      <c r="C975" s="7"/>
      <c r="D975" s="7"/>
      <c r="E975" s="7"/>
      <c r="F975" s="7"/>
      <c r="G975" s="7"/>
      <c r="H975" s="7"/>
      <c r="I975" s="7"/>
      <c r="J975" s="7"/>
      <c r="K975" s="7"/>
      <c r="L975" s="14" t="str">
        <f t="shared" si="1"/>
        <v/>
      </c>
      <c r="M975" s="7"/>
      <c r="N975" s="7"/>
      <c r="O975" s="7"/>
      <c r="P975" s="7"/>
      <c r="Q975" s="6"/>
      <c r="R975" s="6"/>
      <c r="S975" s="6"/>
      <c r="T975" s="6"/>
      <c r="U975" s="6"/>
      <c r="V975" s="6"/>
      <c r="W975" s="6"/>
      <c r="X975" s="6"/>
      <c r="Y975" s="6"/>
      <c r="Z975" s="6"/>
    </row>
    <row r="976" ht="15.0" customHeight="1">
      <c r="A976" s="7"/>
      <c r="B976" s="7"/>
      <c r="C976" s="7"/>
      <c r="D976" s="7"/>
      <c r="E976" s="7"/>
      <c r="F976" s="7"/>
      <c r="G976" s="7"/>
      <c r="H976" s="7"/>
      <c r="I976" s="7"/>
      <c r="J976" s="7"/>
      <c r="K976" s="7"/>
      <c r="L976" s="14" t="str">
        <f t="shared" si="1"/>
        <v/>
      </c>
      <c r="M976" s="7"/>
      <c r="N976" s="7"/>
      <c r="O976" s="7"/>
      <c r="P976" s="7"/>
      <c r="Q976" s="6"/>
      <c r="R976" s="6"/>
      <c r="S976" s="6"/>
      <c r="T976" s="6"/>
      <c r="U976" s="6"/>
      <c r="V976" s="6"/>
      <c r="W976" s="6"/>
      <c r="X976" s="6"/>
      <c r="Y976" s="6"/>
      <c r="Z976" s="6"/>
    </row>
    <row r="977" ht="15.0" customHeight="1">
      <c r="A977" s="7"/>
      <c r="B977" s="7"/>
      <c r="C977" s="7"/>
      <c r="D977" s="7"/>
      <c r="E977" s="7"/>
      <c r="F977" s="7"/>
      <c r="G977" s="7"/>
      <c r="H977" s="7"/>
      <c r="I977" s="7"/>
      <c r="J977" s="7"/>
      <c r="K977" s="7"/>
      <c r="L977" s="14" t="str">
        <f t="shared" si="1"/>
        <v/>
      </c>
      <c r="M977" s="7"/>
      <c r="N977" s="7"/>
      <c r="O977" s="7"/>
      <c r="P977" s="7"/>
      <c r="Q977" s="6"/>
      <c r="R977" s="6"/>
      <c r="S977" s="6"/>
      <c r="T977" s="6"/>
      <c r="U977" s="6"/>
      <c r="V977" s="6"/>
      <c r="W977" s="6"/>
      <c r="X977" s="6"/>
      <c r="Y977" s="6"/>
      <c r="Z977" s="6"/>
    </row>
    <row r="978" ht="15.0" customHeight="1">
      <c r="A978" s="7"/>
      <c r="B978" s="7"/>
      <c r="C978" s="7"/>
      <c r="D978" s="7"/>
      <c r="E978" s="7"/>
      <c r="F978" s="7"/>
      <c r="G978" s="7"/>
      <c r="H978" s="7"/>
      <c r="I978" s="7"/>
      <c r="J978" s="7"/>
      <c r="K978" s="7"/>
      <c r="L978" s="14" t="str">
        <f t="shared" si="1"/>
        <v/>
      </c>
      <c r="M978" s="7"/>
      <c r="N978" s="7"/>
      <c r="O978" s="7"/>
      <c r="P978" s="7"/>
      <c r="Q978" s="6"/>
      <c r="R978" s="6"/>
      <c r="S978" s="6"/>
      <c r="T978" s="6"/>
      <c r="U978" s="6"/>
      <c r="V978" s="6"/>
      <c r="W978" s="6"/>
      <c r="X978" s="6"/>
      <c r="Y978" s="6"/>
      <c r="Z978" s="6"/>
    </row>
    <row r="979" ht="15.0" customHeight="1">
      <c r="A979" s="7"/>
      <c r="B979" s="7"/>
      <c r="C979" s="7"/>
      <c r="D979" s="7"/>
      <c r="E979" s="7"/>
      <c r="F979" s="7"/>
      <c r="G979" s="7"/>
      <c r="H979" s="7"/>
      <c r="I979" s="7"/>
      <c r="J979" s="7"/>
      <c r="K979" s="7"/>
      <c r="L979" s="14" t="str">
        <f t="shared" si="1"/>
        <v/>
      </c>
      <c r="M979" s="7"/>
      <c r="N979" s="7"/>
      <c r="O979" s="7"/>
      <c r="P979" s="7"/>
      <c r="Q979" s="6"/>
      <c r="R979" s="6"/>
      <c r="S979" s="6"/>
      <c r="T979" s="6"/>
      <c r="U979" s="6"/>
      <c r="V979" s="6"/>
      <c r="W979" s="6"/>
      <c r="X979" s="6"/>
      <c r="Y979" s="6"/>
      <c r="Z979" s="6"/>
    </row>
    <row r="980" ht="15.0" customHeight="1">
      <c r="A980" s="7"/>
      <c r="B980" s="7"/>
      <c r="C980" s="7"/>
      <c r="D980" s="7"/>
      <c r="E980" s="7"/>
      <c r="F980" s="7"/>
      <c r="G980" s="7"/>
      <c r="H980" s="7"/>
      <c r="I980" s="7"/>
      <c r="J980" s="7"/>
      <c r="K980" s="7"/>
      <c r="L980" s="14" t="str">
        <f t="shared" si="1"/>
        <v/>
      </c>
      <c r="M980" s="7"/>
      <c r="N980" s="7"/>
      <c r="O980" s="7"/>
      <c r="P980" s="7"/>
      <c r="Q980" s="6"/>
      <c r="R980" s="6"/>
      <c r="S980" s="6"/>
      <c r="T980" s="6"/>
      <c r="U980" s="6"/>
      <c r="V980" s="6"/>
      <c r="W980" s="6"/>
      <c r="X980" s="6"/>
      <c r="Y980" s="6"/>
      <c r="Z980" s="6"/>
    </row>
    <row r="981" ht="15.0" customHeight="1">
      <c r="A981" s="7"/>
      <c r="B981" s="7"/>
      <c r="C981" s="7"/>
      <c r="D981" s="7"/>
      <c r="E981" s="7"/>
      <c r="F981" s="7"/>
      <c r="G981" s="7"/>
      <c r="H981" s="7"/>
      <c r="I981" s="7"/>
      <c r="J981" s="7"/>
      <c r="K981" s="7"/>
      <c r="L981" s="14" t="str">
        <f t="shared" si="1"/>
        <v/>
      </c>
      <c r="M981" s="7"/>
      <c r="N981" s="7"/>
      <c r="O981" s="7"/>
      <c r="P981" s="7"/>
      <c r="Q981" s="6"/>
      <c r="R981" s="6"/>
      <c r="S981" s="6"/>
      <c r="T981" s="6"/>
      <c r="U981" s="6"/>
      <c r="V981" s="6"/>
      <c r="W981" s="6"/>
      <c r="X981" s="6"/>
      <c r="Y981" s="6"/>
      <c r="Z981" s="6"/>
    </row>
    <row r="982" ht="15.0" customHeight="1">
      <c r="A982" s="7"/>
      <c r="B982" s="7"/>
      <c r="C982" s="7"/>
      <c r="D982" s="7"/>
      <c r="E982" s="7"/>
      <c r="F982" s="7"/>
      <c r="G982" s="7"/>
      <c r="H982" s="7"/>
      <c r="I982" s="7"/>
      <c r="J982" s="7"/>
      <c r="K982" s="7"/>
      <c r="L982" s="14" t="str">
        <f t="shared" si="1"/>
        <v/>
      </c>
      <c r="M982" s="7"/>
      <c r="N982" s="7"/>
      <c r="O982" s="7"/>
      <c r="P982" s="7"/>
      <c r="Q982" s="6"/>
      <c r="R982" s="6"/>
      <c r="S982" s="6"/>
      <c r="T982" s="6"/>
      <c r="U982" s="6"/>
      <c r="V982" s="6"/>
      <c r="W982" s="6"/>
      <c r="X982" s="6"/>
      <c r="Y982" s="6"/>
      <c r="Z982" s="6"/>
    </row>
    <row r="983" ht="15.0" customHeight="1">
      <c r="A983" s="7"/>
      <c r="B983" s="7"/>
      <c r="C983" s="7"/>
      <c r="D983" s="7"/>
      <c r="E983" s="7"/>
      <c r="F983" s="7"/>
      <c r="G983" s="7"/>
      <c r="H983" s="7"/>
      <c r="I983" s="7"/>
      <c r="J983" s="7"/>
      <c r="K983" s="7"/>
      <c r="L983" s="14" t="str">
        <f t="shared" si="1"/>
        <v/>
      </c>
      <c r="M983" s="7"/>
      <c r="N983" s="7"/>
      <c r="O983" s="7"/>
      <c r="P983" s="7"/>
      <c r="Q983" s="6"/>
      <c r="R983" s="6"/>
      <c r="S983" s="6"/>
      <c r="T983" s="6"/>
      <c r="U983" s="6"/>
      <c r="V983" s="6"/>
      <c r="W983" s="6"/>
      <c r="X983" s="6"/>
      <c r="Y983" s="6"/>
      <c r="Z983" s="6"/>
    </row>
    <row r="984" ht="15.0" customHeight="1">
      <c r="A984" s="7"/>
      <c r="B984" s="7"/>
      <c r="C984" s="7"/>
      <c r="D984" s="7"/>
      <c r="E984" s="7"/>
      <c r="F984" s="7"/>
      <c r="G984" s="7"/>
      <c r="H984" s="7"/>
      <c r="I984" s="7"/>
      <c r="J984" s="7"/>
      <c r="K984" s="7"/>
      <c r="L984" s="14" t="str">
        <f t="shared" si="1"/>
        <v/>
      </c>
      <c r="M984" s="7"/>
      <c r="N984" s="7"/>
      <c r="O984" s="7"/>
      <c r="P984" s="7"/>
      <c r="Q984" s="6"/>
      <c r="R984" s="6"/>
      <c r="S984" s="6"/>
      <c r="T984" s="6"/>
      <c r="U984" s="6"/>
      <c r="V984" s="6"/>
      <c r="W984" s="6"/>
      <c r="X984" s="6"/>
      <c r="Y984" s="6"/>
      <c r="Z984" s="6"/>
    </row>
    <row r="985" ht="15.0" customHeight="1">
      <c r="A985" s="7"/>
      <c r="B985" s="7"/>
      <c r="C985" s="7"/>
      <c r="D985" s="7"/>
      <c r="E985" s="7"/>
      <c r="F985" s="7"/>
      <c r="G985" s="7"/>
      <c r="H985" s="7"/>
      <c r="I985" s="7"/>
      <c r="J985" s="7"/>
      <c r="K985" s="7"/>
      <c r="L985" s="14" t="str">
        <f t="shared" si="1"/>
        <v/>
      </c>
      <c r="M985" s="7"/>
      <c r="N985" s="7"/>
      <c r="O985" s="7"/>
      <c r="P985" s="7"/>
      <c r="Q985" s="6"/>
      <c r="R985" s="6"/>
      <c r="S985" s="6"/>
      <c r="T985" s="6"/>
      <c r="U985" s="6"/>
      <c r="V985" s="6"/>
      <c r="W985" s="6"/>
      <c r="X985" s="6"/>
      <c r="Y985" s="6"/>
      <c r="Z985" s="6"/>
    </row>
    <row r="986" ht="15.0" customHeight="1">
      <c r="A986" s="7"/>
      <c r="B986" s="7"/>
      <c r="C986" s="7"/>
      <c r="D986" s="7"/>
      <c r="E986" s="7"/>
      <c r="F986" s="7"/>
      <c r="G986" s="7"/>
      <c r="H986" s="7"/>
      <c r="I986" s="7"/>
      <c r="J986" s="7"/>
      <c r="K986" s="7"/>
      <c r="L986" s="14" t="str">
        <f t="shared" si="1"/>
        <v/>
      </c>
      <c r="M986" s="7"/>
      <c r="N986" s="7"/>
      <c r="O986" s="7"/>
      <c r="P986" s="7"/>
      <c r="Q986" s="6"/>
      <c r="R986" s="6"/>
      <c r="S986" s="6"/>
      <c r="T986" s="6"/>
      <c r="U986" s="6"/>
      <c r="V986" s="6"/>
      <c r="W986" s="6"/>
      <c r="X986" s="6"/>
      <c r="Y986" s="6"/>
      <c r="Z986" s="6"/>
    </row>
    <row r="987" ht="15.0" customHeight="1">
      <c r="A987" s="7"/>
      <c r="B987" s="7"/>
      <c r="C987" s="7"/>
      <c r="D987" s="7"/>
      <c r="E987" s="7"/>
      <c r="F987" s="7"/>
      <c r="G987" s="7"/>
      <c r="H987" s="7"/>
      <c r="I987" s="7"/>
      <c r="J987" s="7"/>
      <c r="K987" s="7"/>
      <c r="L987" s="14" t="str">
        <f t="shared" si="1"/>
        <v/>
      </c>
      <c r="M987" s="7"/>
      <c r="N987" s="7"/>
      <c r="O987" s="7"/>
      <c r="P987" s="7"/>
      <c r="Q987" s="6"/>
      <c r="R987" s="6"/>
      <c r="S987" s="6"/>
      <c r="T987" s="6"/>
      <c r="U987" s="6"/>
      <c r="V987" s="6"/>
      <c r="W987" s="6"/>
      <c r="X987" s="6"/>
      <c r="Y987" s="6"/>
      <c r="Z987" s="6"/>
    </row>
    <row r="988" ht="15.0" customHeight="1">
      <c r="A988" s="7"/>
      <c r="B988" s="7"/>
      <c r="C988" s="7"/>
      <c r="D988" s="7"/>
      <c r="E988" s="7"/>
      <c r="F988" s="7"/>
      <c r="G988" s="7"/>
      <c r="H988" s="7"/>
      <c r="I988" s="7"/>
      <c r="J988" s="7"/>
      <c r="K988" s="7"/>
      <c r="L988" s="14" t="str">
        <f t="shared" si="1"/>
        <v/>
      </c>
      <c r="M988" s="7"/>
      <c r="N988" s="7"/>
      <c r="O988" s="7"/>
      <c r="P988" s="7"/>
      <c r="Q988" s="6"/>
      <c r="R988" s="6"/>
      <c r="S988" s="6"/>
      <c r="T988" s="6"/>
      <c r="U988" s="6"/>
      <c r="V988" s="6"/>
      <c r="W988" s="6"/>
      <c r="X988" s="6"/>
      <c r="Y988" s="6"/>
      <c r="Z988" s="6"/>
    </row>
    <row r="989" ht="15.0" customHeight="1">
      <c r="A989" s="7"/>
      <c r="B989" s="7"/>
      <c r="C989" s="7"/>
      <c r="D989" s="7"/>
      <c r="E989" s="7"/>
      <c r="F989" s="7"/>
      <c r="G989" s="7"/>
      <c r="H989" s="7"/>
      <c r="I989" s="7"/>
      <c r="J989" s="7"/>
      <c r="K989" s="7"/>
      <c r="L989" s="14" t="str">
        <f t="shared" si="1"/>
        <v/>
      </c>
      <c r="M989" s="7"/>
      <c r="N989" s="7"/>
      <c r="O989" s="7"/>
      <c r="P989" s="7"/>
      <c r="Q989" s="6"/>
      <c r="R989" s="6"/>
      <c r="S989" s="6"/>
      <c r="T989" s="6"/>
      <c r="U989" s="6"/>
      <c r="V989" s="6"/>
      <c r="W989" s="6"/>
      <c r="X989" s="6"/>
      <c r="Y989" s="6"/>
      <c r="Z989" s="6"/>
    </row>
    <row r="990" ht="15.0" customHeight="1">
      <c r="A990" s="7"/>
      <c r="B990" s="7"/>
      <c r="C990" s="7"/>
      <c r="D990" s="7"/>
      <c r="E990" s="7"/>
      <c r="F990" s="7"/>
      <c r="G990" s="7"/>
      <c r="H990" s="7"/>
      <c r="I990" s="7"/>
      <c r="J990" s="7"/>
      <c r="K990" s="7"/>
      <c r="L990" s="14" t="str">
        <f t="shared" si="1"/>
        <v/>
      </c>
      <c r="M990" s="7"/>
      <c r="N990" s="7"/>
      <c r="O990" s="7"/>
      <c r="P990" s="7"/>
      <c r="Q990" s="6"/>
      <c r="R990" s="6"/>
      <c r="S990" s="6"/>
      <c r="T990" s="6"/>
      <c r="U990" s="6"/>
      <c r="V990" s="6"/>
      <c r="W990" s="6"/>
      <c r="X990" s="6"/>
      <c r="Y990" s="6"/>
      <c r="Z990" s="6"/>
    </row>
    <row r="991" ht="15.0" customHeight="1">
      <c r="A991" s="7"/>
      <c r="B991" s="7"/>
      <c r="C991" s="7"/>
      <c r="D991" s="7"/>
      <c r="E991" s="7"/>
      <c r="F991" s="7"/>
      <c r="G991" s="7"/>
      <c r="H991" s="7"/>
      <c r="I991" s="7"/>
      <c r="J991" s="7"/>
      <c r="K991" s="7"/>
      <c r="L991" s="14" t="str">
        <f t="shared" si="1"/>
        <v/>
      </c>
      <c r="M991" s="7"/>
      <c r="N991" s="7"/>
      <c r="O991" s="7"/>
      <c r="P991" s="7"/>
      <c r="Q991" s="6"/>
      <c r="R991" s="6"/>
      <c r="S991" s="6"/>
      <c r="T991" s="6"/>
      <c r="U991" s="6"/>
      <c r="V991" s="6"/>
      <c r="W991" s="6"/>
      <c r="X991" s="6"/>
      <c r="Y991" s="6"/>
      <c r="Z991" s="6"/>
    </row>
    <row r="992" ht="15.0" customHeight="1">
      <c r="A992" s="7"/>
      <c r="B992" s="7"/>
      <c r="C992" s="7"/>
      <c r="D992" s="7"/>
      <c r="E992" s="7"/>
      <c r="F992" s="7"/>
      <c r="G992" s="7"/>
      <c r="H992" s="7"/>
      <c r="I992" s="7"/>
      <c r="J992" s="7"/>
      <c r="K992" s="7"/>
      <c r="L992" s="14" t="str">
        <f t="shared" si="1"/>
        <v/>
      </c>
      <c r="M992" s="7"/>
      <c r="N992" s="7"/>
      <c r="O992" s="7"/>
      <c r="P992" s="7"/>
      <c r="Q992" s="6"/>
      <c r="R992" s="6"/>
      <c r="S992" s="6"/>
      <c r="T992" s="6"/>
      <c r="U992" s="6"/>
      <c r="V992" s="6"/>
      <c r="W992" s="6"/>
      <c r="X992" s="6"/>
      <c r="Y992" s="6"/>
      <c r="Z992" s="6"/>
    </row>
    <row r="993" ht="15.0" customHeight="1">
      <c r="A993" s="7"/>
      <c r="B993" s="7"/>
      <c r="C993" s="7"/>
      <c r="D993" s="7"/>
      <c r="E993" s="7"/>
      <c r="F993" s="7"/>
      <c r="G993" s="7"/>
      <c r="H993" s="7"/>
      <c r="I993" s="7"/>
      <c r="J993" s="7"/>
      <c r="K993" s="7"/>
      <c r="L993" s="14" t="str">
        <f t="shared" si="1"/>
        <v/>
      </c>
      <c r="M993" s="7"/>
      <c r="N993" s="7"/>
      <c r="O993" s="7"/>
      <c r="P993" s="7"/>
      <c r="Q993" s="6"/>
      <c r="R993" s="6"/>
      <c r="S993" s="6"/>
      <c r="T993" s="6"/>
      <c r="U993" s="6"/>
      <c r="V993" s="6"/>
      <c r="W993" s="6"/>
      <c r="X993" s="6"/>
      <c r="Y993" s="6"/>
      <c r="Z993" s="6"/>
    </row>
    <row r="994" ht="15.0" customHeight="1">
      <c r="A994" s="7"/>
      <c r="B994" s="7"/>
      <c r="C994" s="7"/>
      <c r="D994" s="7"/>
      <c r="E994" s="7"/>
      <c r="F994" s="7"/>
      <c r="G994" s="7"/>
      <c r="H994" s="7"/>
      <c r="I994" s="7"/>
      <c r="J994" s="7"/>
      <c r="K994" s="7"/>
      <c r="L994" s="14" t="str">
        <f t="shared" si="1"/>
        <v/>
      </c>
      <c r="M994" s="7"/>
      <c r="N994" s="7"/>
      <c r="O994" s="7"/>
      <c r="P994" s="7"/>
      <c r="Q994" s="6"/>
      <c r="R994" s="6"/>
      <c r="S994" s="6"/>
      <c r="T994" s="6"/>
      <c r="U994" s="6"/>
      <c r="V994" s="6"/>
      <c r="W994" s="6"/>
      <c r="X994" s="6"/>
      <c r="Y994" s="6"/>
      <c r="Z994" s="6"/>
    </row>
    <row r="995" ht="15.0" customHeight="1">
      <c r="A995" s="7"/>
      <c r="B995" s="7"/>
      <c r="C995" s="7"/>
      <c r="D995" s="7"/>
      <c r="E995" s="7"/>
      <c r="F995" s="7"/>
      <c r="G995" s="7"/>
      <c r="H995" s="7"/>
      <c r="I995" s="7"/>
      <c r="J995" s="7"/>
      <c r="K995" s="7"/>
      <c r="L995" s="14" t="str">
        <f t="shared" si="1"/>
        <v/>
      </c>
      <c r="M995" s="7"/>
      <c r="N995" s="7"/>
      <c r="O995" s="7"/>
      <c r="P995" s="7"/>
      <c r="Q995" s="6"/>
      <c r="R995" s="6"/>
      <c r="S995" s="6"/>
      <c r="T995" s="6"/>
      <c r="U995" s="6"/>
      <c r="V995" s="6"/>
      <c r="W995" s="6"/>
      <c r="X995" s="6"/>
      <c r="Y995" s="6"/>
      <c r="Z995" s="6"/>
    </row>
    <row r="996" ht="15.0" customHeight="1">
      <c r="A996" s="7"/>
      <c r="B996" s="7"/>
      <c r="C996" s="7"/>
      <c r="D996" s="7"/>
      <c r="E996" s="7"/>
      <c r="F996" s="7"/>
      <c r="G996" s="7"/>
      <c r="H996" s="7"/>
      <c r="I996" s="7"/>
      <c r="J996" s="7"/>
      <c r="K996" s="7"/>
      <c r="L996" s="14" t="str">
        <f t="shared" si="1"/>
        <v/>
      </c>
      <c r="M996" s="7"/>
      <c r="N996" s="7"/>
      <c r="O996" s="7"/>
      <c r="P996" s="7"/>
      <c r="Q996" s="6"/>
      <c r="R996" s="6"/>
      <c r="S996" s="6"/>
      <c r="T996" s="6"/>
      <c r="U996" s="6"/>
      <c r="V996" s="6"/>
      <c r="W996" s="6"/>
      <c r="X996" s="6"/>
      <c r="Y996" s="6"/>
      <c r="Z996" s="6"/>
    </row>
    <row r="997" ht="15.0" customHeight="1">
      <c r="A997" s="7"/>
      <c r="B997" s="7"/>
      <c r="C997" s="7"/>
      <c r="D997" s="7"/>
      <c r="E997" s="7"/>
      <c r="F997" s="7"/>
      <c r="G997" s="7"/>
      <c r="H997" s="7"/>
      <c r="I997" s="7"/>
      <c r="J997" s="7"/>
      <c r="K997" s="7"/>
      <c r="L997" s="14" t="str">
        <f t="shared" si="1"/>
        <v/>
      </c>
      <c r="M997" s="7"/>
      <c r="N997" s="7"/>
      <c r="O997" s="7"/>
      <c r="P997" s="7"/>
      <c r="Q997" s="6"/>
      <c r="R997" s="6"/>
      <c r="S997" s="6"/>
      <c r="T997" s="6"/>
      <c r="U997" s="6"/>
      <c r="V997" s="6"/>
      <c r="W997" s="6"/>
      <c r="X997" s="6"/>
      <c r="Y997" s="6"/>
      <c r="Z997" s="6"/>
    </row>
    <row r="998" ht="15.0" customHeight="1">
      <c r="A998" s="7"/>
      <c r="B998" s="7"/>
      <c r="C998" s="7"/>
      <c r="D998" s="7"/>
      <c r="E998" s="7"/>
      <c r="F998" s="7"/>
      <c r="G998" s="7"/>
      <c r="H998" s="7"/>
      <c r="I998" s="7"/>
      <c r="J998" s="7"/>
      <c r="K998" s="7"/>
      <c r="L998" s="14" t="str">
        <f t="shared" si="1"/>
        <v/>
      </c>
      <c r="M998" s="7"/>
      <c r="N998" s="7"/>
      <c r="O998" s="7"/>
      <c r="P998" s="7"/>
      <c r="Q998" s="6"/>
      <c r="R998" s="6"/>
      <c r="S998" s="6"/>
      <c r="T998" s="6"/>
      <c r="U998" s="6"/>
      <c r="V998" s="6"/>
      <c r="W998" s="6"/>
      <c r="X998" s="6"/>
      <c r="Y998" s="6"/>
      <c r="Z998" s="6"/>
    </row>
    <row r="999" ht="15.0" customHeight="1">
      <c r="A999" s="7"/>
      <c r="B999" s="7"/>
      <c r="C999" s="7"/>
      <c r="D999" s="7"/>
      <c r="E999" s="7"/>
      <c r="F999" s="7"/>
      <c r="G999" s="7"/>
      <c r="H999" s="7"/>
      <c r="I999" s="7"/>
      <c r="J999" s="7"/>
      <c r="K999" s="7"/>
      <c r="L999" s="14" t="str">
        <f t="shared" si="1"/>
        <v/>
      </c>
      <c r="M999" s="7"/>
      <c r="N999" s="7"/>
      <c r="O999" s="7"/>
      <c r="P999" s="7"/>
      <c r="Q999" s="6"/>
      <c r="R999" s="6"/>
      <c r="S999" s="6"/>
      <c r="T999" s="6"/>
      <c r="U999" s="6"/>
      <c r="V999" s="6"/>
      <c r="W999" s="6"/>
      <c r="X999" s="6"/>
      <c r="Y999" s="6"/>
      <c r="Z999" s="6"/>
    </row>
    <row r="1000" ht="15.0" customHeight="1">
      <c r="A1000" s="7"/>
      <c r="B1000" s="7"/>
      <c r="C1000" s="7"/>
      <c r="D1000" s="7"/>
      <c r="E1000" s="7"/>
      <c r="F1000" s="7"/>
      <c r="G1000" s="7"/>
      <c r="H1000" s="7"/>
      <c r="I1000" s="7"/>
      <c r="J1000" s="7"/>
      <c r="K1000" s="7"/>
      <c r="L1000" s="14" t="str">
        <f t="shared" si="1"/>
        <v/>
      </c>
      <c r="M1000" s="7"/>
      <c r="N1000" s="7"/>
      <c r="O1000" s="7"/>
      <c r="P1000" s="7"/>
      <c r="Q1000" s="6"/>
      <c r="R1000" s="6"/>
      <c r="S1000" s="6"/>
      <c r="T1000" s="6"/>
      <c r="U1000" s="6"/>
      <c r="V1000" s="6"/>
      <c r="W1000" s="6"/>
      <c r="X1000" s="6"/>
      <c r="Y1000" s="6"/>
      <c r="Z1000" s="6"/>
    </row>
    <row r="1001" ht="15.0" customHeight="1">
      <c r="A1001" s="7"/>
      <c r="B1001" s="7"/>
      <c r="C1001" s="7"/>
      <c r="D1001" s="7"/>
      <c r="E1001" s="7"/>
      <c r="F1001" s="7"/>
      <c r="G1001" s="7"/>
      <c r="H1001" s="7"/>
      <c r="I1001" s="7"/>
      <c r="J1001" s="7"/>
      <c r="K1001" s="7"/>
      <c r="L1001" s="14" t="str">
        <f t="shared" si="1"/>
        <v/>
      </c>
      <c r="M1001" s="7"/>
      <c r="N1001" s="7"/>
      <c r="O1001" s="7"/>
      <c r="P1001" s="7"/>
      <c r="Q1001" s="6"/>
      <c r="R1001" s="6"/>
      <c r="S1001" s="6"/>
      <c r="T1001" s="6"/>
      <c r="U1001" s="6"/>
      <c r="V1001" s="6"/>
      <c r="W1001" s="6"/>
      <c r="X1001" s="6"/>
      <c r="Y1001" s="6"/>
      <c r="Z1001" s="6"/>
    </row>
  </sheetData>
  <autoFilter ref="$A$1:$W$1001"/>
  <dataValidations>
    <dataValidation type="list" allowBlank="1" sqref="E2:E1001">
      <formula1>Listas!$AD$5:$AD$31</formula1>
    </dataValidation>
    <dataValidation type="list" allowBlank="1" sqref="M2:M1001">
      <formula1>Listas!$R$5:$R$6</formula1>
    </dataValidation>
    <dataValidation type="list" allowBlank="1" sqref="G2:J1001 O2:O1001">
      <formula1>Listas!$P$5:$P$6</formula1>
    </dataValidation>
    <dataValidation type="list" allowBlank="1" sqref="N2:N1001">
      <formula1>Listas!$T$5:$T$10</formula1>
    </dataValidation>
    <dataValidation type="list" allowBlank="1" sqref="F2:F1001">
      <formula1>Listas!$A$5:$A$8</formula1>
    </dataValidation>
    <dataValidation type="list" allowBlank="1" sqref="D2:D1001">
      <formula1>Listas!$C$5:$C$17</formula1>
    </dataValidation>
  </dataValidations>
  <printOptions/>
  <pageMargins bottom="1.0" footer="0.0" header="0.0" left="0.75" right="0.75" top="1.0"/>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5.0"/>
    <col customWidth="1" min="2" max="2" width="22.0"/>
    <col customWidth="1" min="3" max="3" width="30.71"/>
    <col customWidth="1" min="4" max="5" width="30.0"/>
    <col customWidth="1" min="6" max="6" width="32.0"/>
    <col customWidth="1" min="7" max="7" width="30.0"/>
    <col customWidth="1" min="8" max="8" width="53.0"/>
    <col customWidth="1" min="9" max="9" width="26.43"/>
    <col customWidth="1" min="10" max="10" width="20.0"/>
    <col customWidth="1" min="11" max="11" width="27.14"/>
    <col customWidth="1" min="12" max="12" width="20.0"/>
    <col customWidth="1" min="13" max="13" width="13.86"/>
    <col customWidth="1" min="14" max="14" width="16.0"/>
    <col customWidth="1" min="15" max="15" width="51.86"/>
    <col customWidth="1" min="16" max="16" width="62.86"/>
    <col customWidth="1" min="17" max="17" width="11.0"/>
    <col customWidth="1" min="18" max="18" width="14.0"/>
    <col customWidth="1" min="19" max="19" width="15.71"/>
    <col customWidth="1" min="20" max="20" width="11.0"/>
    <col customWidth="1" min="21" max="21" width="73.71"/>
    <col customWidth="1" min="22" max="22" width="14.57"/>
    <col customWidth="1" min="23" max="23" width="30.0"/>
    <col customWidth="1" min="24" max="24" width="16.0"/>
    <col customWidth="1" min="25" max="25" width="15.29"/>
  </cols>
  <sheetData>
    <row r="1" ht="48.0" customHeight="1">
      <c r="A1" s="1" t="s">
        <v>1</v>
      </c>
      <c r="B1" s="1" t="s">
        <v>6</v>
      </c>
      <c r="C1" s="1" t="s">
        <v>0</v>
      </c>
      <c r="D1" s="1" t="s">
        <v>2</v>
      </c>
      <c r="E1" s="1" t="s">
        <v>9</v>
      </c>
      <c r="F1" s="1" t="s">
        <v>4</v>
      </c>
      <c r="G1" s="1" t="s">
        <v>5</v>
      </c>
      <c r="H1" s="1" t="s">
        <v>14</v>
      </c>
      <c r="I1" s="1" t="s">
        <v>17</v>
      </c>
      <c r="J1" s="1" t="s">
        <v>19</v>
      </c>
      <c r="K1" s="1" t="s">
        <v>22</v>
      </c>
      <c r="L1" s="1" t="s">
        <v>24</v>
      </c>
      <c r="M1" s="1" t="s">
        <v>25</v>
      </c>
      <c r="N1" s="1" t="s">
        <v>28</v>
      </c>
      <c r="O1" s="1" t="s">
        <v>31</v>
      </c>
      <c r="P1" s="1" t="s">
        <v>34</v>
      </c>
      <c r="Q1" s="1" t="s">
        <v>35</v>
      </c>
      <c r="R1" s="1" t="s">
        <v>36</v>
      </c>
      <c r="S1" s="1" t="s">
        <v>37</v>
      </c>
      <c r="T1" s="1" t="s">
        <v>38</v>
      </c>
      <c r="U1" s="1" t="s">
        <v>39</v>
      </c>
      <c r="V1" s="9" t="s">
        <v>42</v>
      </c>
      <c r="W1" s="1" t="s">
        <v>21</v>
      </c>
      <c r="X1" s="1" t="s">
        <v>49</v>
      </c>
      <c r="Y1" s="1" t="s">
        <v>51</v>
      </c>
      <c r="Z1" s="10"/>
    </row>
    <row r="2" ht="96.0" customHeight="1">
      <c r="A2" s="14">
        <v>1.0</v>
      </c>
      <c r="B2" s="11" t="s">
        <v>71</v>
      </c>
      <c r="C2" s="7" t="s">
        <v>73</v>
      </c>
      <c r="D2" s="7" t="s">
        <v>74</v>
      </c>
      <c r="E2" s="11" t="s">
        <v>75</v>
      </c>
      <c r="F2" s="7" t="s">
        <v>79</v>
      </c>
      <c r="G2" s="7" t="s">
        <v>85</v>
      </c>
      <c r="H2" s="11" t="s">
        <v>113</v>
      </c>
      <c r="I2" s="11" t="s">
        <v>119</v>
      </c>
      <c r="J2" s="11" t="s">
        <v>71</v>
      </c>
      <c r="K2" s="11" t="s">
        <v>123</v>
      </c>
      <c r="L2" s="11" t="s">
        <v>92</v>
      </c>
      <c r="M2" s="14" t="str">
        <f t="shared" ref="M2:M31" si="1">IF(OR(I2="",K2=""),"",IF(TRIM(I2)=TRIM(K2),"Sim","Não"))</f>
        <v>Não</v>
      </c>
      <c r="N2" s="11" t="s">
        <v>123</v>
      </c>
      <c r="O2" s="11" t="s">
        <v>172</v>
      </c>
      <c r="P2" s="11" t="s">
        <v>175</v>
      </c>
      <c r="Q2" s="11" t="s">
        <v>105</v>
      </c>
      <c r="R2" s="11" t="s">
        <v>106</v>
      </c>
      <c r="S2" s="11" t="s">
        <v>126</v>
      </c>
      <c r="T2" s="14" t="str">
        <f>IF(OR(R2="",S2=""),"",CHOOSE(MATCH(R2,Listas!$X$5:$X$7,0)+MATCH(S2,Listas!$Z$5:$Z$7,0)-1,"Alta","Alta","Média","Baixa","Baixa"))</f>
        <v>Baixa</v>
      </c>
      <c r="U2" s="11" t="s">
        <v>218</v>
      </c>
      <c r="V2" s="19" t="s">
        <v>129</v>
      </c>
      <c r="W2" s="7"/>
      <c r="X2" s="14" t="str">
        <f t="array" ref="X2">IFERROR(INDEX(Listas!$D$5:$D$17,MATCH(F2,Listas!$C$5:$C$17,0)),"")</f>
        <v>barrett-2024</v>
      </c>
      <c r="Y2" s="14" t="str">
        <f t="shared" ref="Y2:Y61" si="2">IFERROR(LEFT(G2,FIND(" ",G2)-1),"")</f>
        <v>1.2</v>
      </c>
      <c r="Z2" s="10"/>
    </row>
    <row r="3" ht="140.25" customHeight="1">
      <c r="A3" s="14">
        <v>2.0</v>
      </c>
      <c r="B3" s="11" t="s">
        <v>71</v>
      </c>
      <c r="C3" s="7" t="s">
        <v>353</v>
      </c>
      <c r="D3" s="7" t="s">
        <v>354</v>
      </c>
      <c r="E3" s="11" t="s">
        <v>355</v>
      </c>
      <c r="F3" s="7" t="s">
        <v>79</v>
      </c>
      <c r="G3" s="7" t="s">
        <v>48</v>
      </c>
      <c r="H3" s="11" t="s">
        <v>367</v>
      </c>
      <c r="I3" s="23" t="s">
        <v>368</v>
      </c>
      <c r="J3" s="11" t="s">
        <v>71</v>
      </c>
      <c r="K3" s="11" t="s">
        <v>372</v>
      </c>
      <c r="L3" s="11" t="s">
        <v>92</v>
      </c>
      <c r="M3" s="14" t="str">
        <f t="shared" si="1"/>
        <v>Não</v>
      </c>
      <c r="N3" s="11" t="s">
        <v>372</v>
      </c>
      <c r="O3" s="11" t="s">
        <v>374</v>
      </c>
      <c r="P3" s="11" t="s">
        <v>375</v>
      </c>
      <c r="Q3" s="11" t="s">
        <v>105</v>
      </c>
      <c r="R3" s="11" t="s">
        <v>106</v>
      </c>
      <c r="S3" s="11" t="s">
        <v>126</v>
      </c>
      <c r="T3" s="14" t="str">
        <f>IF(OR(R3="",S3=""),"",CHOOSE(MATCH(R3,Listas!$X$5:$X$7,0)+MATCH(S3,Listas!$Z$5:$Z$7,0)-1,"Alta","Alta","Média","Baixa","Baixa"))</f>
        <v>Baixa</v>
      </c>
      <c r="U3" s="11" t="s">
        <v>391</v>
      </c>
      <c r="V3" s="19" t="s">
        <v>129</v>
      </c>
      <c r="W3" s="7"/>
      <c r="X3" s="14" t="str">
        <f t="array" ref="X3">IFERROR(INDEX(Listas!$D$5:$D$17,MATCH(F3,Listas!$C$5:$C$17,0)),"")</f>
        <v>barrett-2024</v>
      </c>
      <c r="Y3" s="14" t="str">
        <f t="shared" si="2"/>
        <v>4.1</v>
      </c>
      <c r="Z3" s="10"/>
    </row>
    <row r="4" ht="138.75" customHeight="1">
      <c r="A4" s="14">
        <v>3.0</v>
      </c>
      <c r="B4" s="11" t="s">
        <v>71</v>
      </c>
      <c r="C4" s="7" t="s">
        <v>433</v>
      </c>
      <c r="D4" s="7" t="s">
        <v>435</v>
      </c>
      <c r="E4" s="11" t="s">
        <v>437</v>
      </c>
      <c r="F4" s="7" t="s">
        <v>79</v>
      </c>
      <c r="G4" s="7" t="s">
        <v>138</v>
      </c>
      <c r="H4" s="11" t="s">
        <v>443</v>
      </c>
      <c r="I4" s="23" t="s">
        <v>368</v>
      </c>
      <c r="J4" s="11" t="s">
        <v>71</v>
      </c>
      <c r="K4" s="11" t="s">
        <v>372</v>
      </c>
      <c r="L4" s="11" t="s">
        <v>92</v>
      </c>
      <c r="M4" s="14" t="str">
        <f t="shared" si="1"/>
        <v>Não</v>
      </c>
      <c r="N4" s="11" t="s">
        <v>372</v>
      </c>
      <c r="O4" s="11" t="s">
        <v>449</v>
      </c>
      <c r="P4" s="11" t="s">
        <v>450</v>
      </c>
      <c r="Q4" s="11" t="s">
        <v>105</v>
      </c>
      <c r="R4" s="11" t="s">
        <v>106</v>
      </c>
      <c r="S4" s="11" t="s">
        <v>126</v>
      </c>
      <c r="T4" s="14" t="str">
        <f>IF(OR(R4="",S4=""),"",CHOOSE(MATCH(R4,Listas!$X$5:$X$7,0)+MATCH(S4,Listas!$Z$5:$Z$7,0)-1,"Alta","Alta","Média","Baixa","Baixa"))</f>
        <v>Baixa</v>
      </c>
      <c r="U4" s="11" t="s">
        <v>391</v>
      </c>
      <c r="V4" s="19" t="s">
        <v>129</v>
      </c>
      <c r="W4" s="7"/>
      <c r="X4" s="14" t="str">
        <f t="array" ref="X4">IFERROR(INDEX(Listas!$D$5:$D$17,MATCH(F4,Listas!$C$5:$C$17,0)),"")</f>
        <v>barrett-2024</v>
      </c>
      <c r="Y4" s="14" t="str">
        <f t="shared" si="2"/>
        <v>3.1</v>
      </c>
      <c r="Z4" s="10"/>
    </row>
    <row r="5" ht="138.75" customHeight="1">
      <c r="A5" s="14">
        <v>4.0</v>
      </c>
      <c r="B5" s="11" t="s">
        <v>71</v>
      </c>
      <c r="C5" s="7" t="s">
        <v>491</v>
      </c>
      <c r="D5" s="7" t="s">
        <v>492</v>
      </c>
      <c r="E5" s="11" t="s">
        <v>493</v>
      </c>
      <c r="F5" s="7" t="s">
        <v>79</v>
      </c>
      <c r="G5" s="7" t="s">
        <v>267</v>
      </c>
      <c r="H5" s="11" t="s">
        <v>501</v>
      </c>
      <c r="I5" s="23" t="s">
        <v>503</v>
      </c>
      <c r="J5" s="11" t="s">
        <v>71</v>
      </c>
      <c r="K5" s="11" t="s">
        <v>503</v>
      </c>
      <c r="L5" s="11" t="s">
        <v>92</v>
      </c>
      <c r="M5" s="14" t="str">
        <f t="shared" si="1"/>
        <v>Sim</v>
      </c>
      <c r="N5" s="11" t="s">
        <v>503</v>
      </c>
      <c r="O5" s="11" t="s">
        <v>505</v>
      </c>
      <c r="P5" s="11" t="s">
        <v>506</v>
      </c>
      <c r="Q5" s="11" t="s">
        <v>105</v>
      </c>
      <c r="R5" s="11" t="s">
        <v>106</v>
      </c>
      <c r="S5" s="11" t="s">
        <v>126</v>
      </c>
      <c r="T5" s="14" t="str">
        <f>IF(OR(R5="",S5=""),"",CHOOSE(MATCH(R5,Listas!$X$5:$X$7,0)+MATCH(S5,Listas!$Z$5:$Z$7,0)-1,"Alta","Alta","Média","Baixa","Baixa"))</f>
        <v>Baixa</v>
      </c>
      <c r="U5" s="11" t="s">
        <v>521</v>
      </c>
      <c r="V5" s="19" t="s">
        <v>129</v>
      </c>
      <c r="W5" s="7"/>
      <c r="X5" s="14" t="str">
        <f t="array" ref="X5">IFERROR(INDEX(Listas!$D$5:$D$17,MATCH(F5,Listas!$C$5:$C$17,0)),"")</f>
        <v>barrett-2024</v>
      </c>
      <c r="Y5" s="14" t="str">
        <f t="shared" si="2"/>
        <v>3.6</v>
      </c>
      <c r="Z5" s="10"/>
    </row>
    <row r="6" ht="124.5" customHeight="1">
      <c r="A6" s="14">
        <v>5.0</v>
      </c>
      <c r="B6" s="11" t="s">
        <v>71</v>
      </c>
      <c r="C6" s="7" t="s">
        <v>551</v>
      </c>
      <c r="D6" s="7" t="s">
        <v>552</v>
      </c>
      <c r="E6" s="11" t="s">
        <v>553</v>
      </c>
      <c r="F6" s="7" t="s">
        <v>79</v>
      </c>
      <c r="G6" s="7" t="s">
        <v>85</v>
      </c>
      <c r="H6" s="11" t="s">
        <v>559</v>
      </c>
      <c r="I6" s="11" t="s">
        <v>560</v>
      </c>
      <c r="J6" s="11" t="s">
        <v>71</v>
      </c>
      <c r="K6" s="11" t="s">
        <v>561</v>
      </c>
      <c r="L6" s="11" t="s">
        <v>92</v>
      </c>
      <c r="M6" s="14" t="str">
        <f t="shared" si="1"/>
        <v>Sim</v>
      </c>
      <c r="N6" s="11" t="s">
        <v>561</v>
      </c>
      <c r="O6" s="11" t="s">
        <v>565</v>
      </c>
      <c r="P6" s="11" t="s">
        <v>566</v>
      </c>
      <c r="Q6" s="11" t="s">
        <v>105</v>
      </c>
      <c r="R6" s="11" t="s">
        <v>106</v>
      </c>
      <c r="S6" s="11" t="s">
        <v>126</v>
      </c>
      <c r="T6" s="14" t="str">
        <f>IF(OR(R6="",S6=""),"",CHOOSE(MATCH(R6,Listas!$X$5:$X$7,0)+MATCH(S6,Listas!$Z$5:$Z$7,0)-1,"Alta","Alta","Média","Baixa","Baixa"))</f>
        <v>Baixa</v>
      </c>
      <c r="U6" s="11" t="s">
        <v>577</v>
      </c>
      <c r="V6" s="19" t="s">
        <v>129</v>
      </c>
      <c r="W6" s="7"/>
      <c r="X6" s="14" t="str">
        <f t="array" ref="X6">IFERROR(INDEX(Listas!$D$5:$D$17,MATCH(F6,Listas!$C$5:$C$17,0)),"")</f>
        <v>barrett-2024</v>
      </c>
      <c r="Y6" s="14" t="str">
        <f t="shared" si="2"/>
        <v>1.2</v>
      </c>
      <c r="Z6" s="10"/>
    </row>
    <row r="7" ht="132.75" customHeight="1">
      <c r="A7" s="14">
        <v>6.0</v>
      </c>
      <c r="B7" s="11" t="s">
        <v>71</v>
      </c>
      <c r="C7" s="7" t="s">
        <v>618</v>
      </c>
      <c r="D7" s="7" t="s">
        <v>619</v>
      </c>
      <c r="E7" s="11" t="s">
        <v>620</v>
      </c>
      <c r="F7" s="7" t="s">
        <v>79</v>
      </c>
      <c r="G7" s="7" t="s">
        <v>259</v>
      </c>
      <c r="H7" s="11" t="s">
        <v>628</v>
      </c>
      <c r="I7" s="11" t="s">
        <v>629</v>
      </c>
      <c r="J7" s="11" t="s">
        <v>71</v>
      </c>
      <c r="K7" s="11" t="s">
        <v>630</v>
      </c>
      <c r="L7" s="11" t="s">
        <v>92</v>
      </c>
      <c r="M7" s="14" t="str">
        <f t="shared" si="1"/>
        <v>Sim</v>
      </c>
      <c r="N7" s="11" t="s">
        <v>630</v>
      </c>
      <c r="O7" s="11" t="s">
        <v>631</v>
      </c>
      <c r="P7" s="11" t="s">
        <v>632</v>
      </c>
      <c r="Q7" s="11" t="s">
        <v>105</v>
      </c>
      <c r="R7" s="11" t="s">
        <v>106</v>
      </c>
      <c r="S7" s="11" t="s">
        <v>126</v>
      </c>
      <c r="T7" s="14" t="str">
        <f>IF(OR(R7="",S7=""),"",CHOOSE(MATCH(R7,Listas!$X$5:$X$7,0)+MATCH(S7,Listas!$Z$5:$Z$7,0)-1,"Alta","Alta","Média","Baixa","Baixa"))</f>
        <v>Baixa</v>
      </c>
      <c r="U7" s="11" t="s">
        <v>644</v>
      </c>
      <c r="V7" s="19" t="s">
        <v>129</v>
      </c>
      <c r="W7" s="7"/>
      <c r="X7" s="14" t="str">
        <f t="array" ref="X7">IFERROR(INDEX(Listas!$D$5:$D$17,MATCH(F7,Listas!$C$5:$C$17,0)),"")</f>
        <v>barrett-2024</v>
      </c>
      <c r="Y7" s="14" t="str">
        <f t="shared" si="2"/>
        <v>3.5</v>
      </c>
      <c r="Z7" s="10"/>
    </row>
    <row r="8" ht="122.25" customHeight="1">
      <c r="A8" s="14">
        <v>7.0</v>
      </c>
      <c r="B8" s="11" t="s">
        <v>71</v>
      </c>
      <c r="C8" s="7" t="s">
        <v>682</v>
      </c>
      <c r="D8" s="7" t="s">
        <v>683</v>
      </c>
      <c r="E8" s="11" t="s">
        <v>684</v>
      </c>
      <c r="F8" s="7" t="s">
        <v>79</v>
      </c>
      <c r="G8" s="7" t="s">
        <v>291</v>
      </c>
      <c r="H8" s="11" t="s">
        <v>691</v>
      </c>
      <c r="I8" s="11" t="s">
        <v>692</v>
      </c>
      <c r="J8" s="11" t="s">
        <v>71</v>
      </c>
      <c r="K8" s="11" t="s">
        <v>693</v>
      </c>
      <c r="L8" s="11" t="s">
        <v>92</v>
      </c>
      <c r="M8" s="14" t="str">
        <f t="shared" si="1"/>
        <v>Não</v>
      </c>
      <c r="N8" s="11" t="s">
        <v>693</v>
      </c>
      <c r="O8" s="11" t="s">
        <v>697</v>
      </c>
      <c r="P8" s="11" t="s">
        <v>698</v>
      </c>
      <c r="Q8" s="11" t="s">
        <v>105</v>
      </c>
      <c r="R8" s="11" t="s">
        <v>106</v>
      </c>
      <c r="S8" s="11" t="s">
        <v>126</v>
      </c>
      <c r="T8" s="14" t="str">
        <f>IF(OR(R8="",S8=""),"",CHOOSE(MATCH(R8,Listas!$X$5:$X$7,0)+MATCH(S8,Listas!$Z$5:$Z$7,0)-1,"Alta","Alta","Média","Baixa","Baixa"))</f>
        <v>Baixa</v>
      </c>
      <c r="U8" s="11" t="s">
        <v>705</v>
      </c>
      <c r="V8" s="19" t="s">
        <v>129</v>
      </c>
      <c r="W8" s="7"/>
      <c r="X8" s="14" t="str">
        <f t="array" ref="X8">IFERROR(INDEX(Listas!$D$5:$D$17,MATCH(F8,Listas!$C$5:$C$17,0)),"")</f>
        <v>barrett-2024</v>
      </c>
      <c r="Y8" s="14" t="str">
        <f t="shared" si="2"/>
        <v>4.3</v>
      </c>
      <c r="Z8" s="10"/>
    </row>
    <row r="9" ht="108.75" customHeight="1">
      <c r="A9" s="14">
        <v>8.0</v>
      </c>
      <c r="B9" s="11" t="s">
        <v>71</v>
      </c>
      <c r="C9" s="7" t="s">
        <v>741</v>
      </c>
      <c r="D9" s="7" t="s">
        <v>744</v>
      </c>
      <c r="E9" s="11" t="s">
        <v>746</v>
      </c>
      <c r="F9" s="7" t="s">
        <v>111</v>
      </c>
      <c r="G9" s="7" t="s">
        <v>315</v>
      </c>
      <c r="H9" s="11" t="s">
        <v>754</v>
      </c>
      <c r="I9" s="11" t="s">
        <v>758</v>
      </c>
      <c r="J9" s="11" t="s">
        <v>71</v>
      </c>
      <c r="K9" s="11" t="s">
        <v>759</v>
      </c>
      <c r="L9" s="11" t="s">
        <v>92</v>
      </c>
      <c r="M9" s="14" t="str">
        <f t="shared" si="1"/>
        <v>Sim</v>
      </c>
      <c r="N9" s="11" t="s">
        <v>759</v>
      </c>
      <c r="O9" s="11" t="s">
        <v>760</v>
      </c>
      <c r="P9" s="11" t="s">
        <v>761</v>
      </c>
      <c r="Q9" s="11" t="s">
        <v>105</v>
      </c>
      <c r="R9" s="11" t="s">
        <v>106</v>
      </c>
      <c r="S9" s="11" t="s">
        <v>126</v>
      </c>
      <c r="T9" s="14" t="str">
        <f>IF(OR(R9="",S9=""),"",CHOOSE(MATCH(R9,Listas!$X$5:$X$7,0)+MATCH(S9,Listas!$Z$5:$Z$7,0)-1,"Alta","Alta","Média","Baixa","Baixa"))</f>
        <v>Baixa</v>
      </c>
      <c r="U9" s="11" t="s">
        <v>769</v>
      </c>
      <c r="V9" s="19" t="s">
        <v>129</v>
      </c>
      <c r="W9" s="7"/>
      <c r="X9" s="14" t="str">
        <f t="array" ref="X9">IFERROR(INDEX(Listas!$D$5:$D$17,MATCH(F9,Listas!$C$5:$C$17,0)),"")</f>
        <v>eisenberg-2025</v>
      </c>
      <c r="Y9" s="14" t="str">
        <f t="shared" si="2"/>
        <v>4.6</v>
      </c>
      <c r="Z9" s="10"/>
    </row>
    <row r="10" ht="108.75" customHeight="1">
      <c r="A10" s="14">
        <v>9.0</v>
      </c>
      <c r="B10" s="11" t="s">
        <v>71</v>
      </c>
      <c r="C10" s="7" t="s">
        <v>793</v>
      </c>
      <c r="D10" s="7" t="s">
        <v>794</v>
      </c>
      <c r="E10" s="11" t="s">
        <v>795</v>
      </c>
      <c r="F10" s="7" t="s">
        <v>111</v>
      </c>
      <c r="G10" s="7" t="s">
        <v>306</v>
      </c>
      <c r="H10" s="11" t="s">
        <v>802</v>
      </c>
      <c r="I10" s="11" t="s">
        <v>803</v>
      </c>
      <c r="J10" s="11" t="s">
        <v>71</v>
      </c>
      <c r="K10" s="11" t="s">
        <v>560</v>
      </c>
      <c r="L10" s="11" t="s">
        <v>92</v>
      </c>
      <c r="M10" s="14" t="str">
        <f t="shared" si="1"/>
        <v>Sim</v>
      </c>
      <c r="N10" s="11" t="s">
        <v>560</v>
      </c>
      <c r="O10" s="11" t="s">
        <v>807</v>
      </c>
      <c r="P10" s="11" t="s">
        <v>808</v>
      </c>
      <c r="Q10" s="11" t="s">
        <v>105</v>
      </c>
      <c r="R10" s="11" t="s">
        <v>106</v>
      </c>
      <c r="S10" s="11" t="s">
        <v>126</v>
      </c>
      <c r="T10" s="14" t="str">
        <f>IF(OR(R10="",S10=""),"",CHOOSE(MATCH(R10,Listas!$X$5:$X$7,0)+MATCH(S10,Listas!$Z$5:$Z$7,0)-1,"Alta","Alta","Média","Baixa","Baixa"))</f>
        <v>Baixa</v>
      </c>
      <c r="U10" s="11" t="s">
        <v>817</v>
      </c>
      <c r="V10" s="19" t="s">
        <v>129</v>
      </c>
      <c r="W10" s="7"/>
      <c r="X10" s="14" t="str">
        <f t="array" ref="X10">IFERROR(INDEX(Listas!$D$5:$D$17,MATCH(F10,Listas!$C$5:$C$17,0)),"")</f>
        <v>eisenberg-2025</v>
      </c>
      <c r="Y10" s="14" t="str">
        <f t="shared" si="2"/>
        <v>4.5</v>
      </c>
      <c r="Z10" s="10"/>
    </row>
    <row r="11" ht="97.5" customHeight="1">
      <c r="A11" s="14">
        <v>10.0</v>
      </c>
      <c r="B11" s="11" t="s">
        <v>71</v>
      </c>
      <c r="C11" s="7" t="s">
        <v>853</v>
      </c>
      <c r="D11" s="7" t="s">
        <v>854</v>
      </c>
      <c r="E11" s="11" t="s">
        <v>855</v>
      </c>
      <c r="F11" s="7" t="s">
        <v>111</v>
      </c>
      <c r="G11" s="7" t="s">
        <v>107</v>
      </c>
      <c r="H11" s="11" t="s">
        <v>859</v>
      </c>
      <c r="I11" s="11" t="s">
        <v>860</v>
      </c>
      <c r="J11" s="11" t="s">
        <v>71</v>
      </c>
      <c r="K11" s="11" t="s">
        <v>864</v>
      </c>
      <c r="L11" s="11" t="s">
        <v>92</v>
      </c>
      <c r="M11" s="14" t="str">
        <f t="shared" si="1"/>
        <v>Não</v>
      </c>
      <c r="N11" s="11" t="s">
        <v>864</v>
      </c>
      <c r="O11" s="11" t="s">
        <v>865</v>
      </c>
      <c r="P11" s="11" t="s">
        <v>866</v>
      </c>
      <c r="Q11" s="11" t="s">
        <v>105</v>
      </c>
      <c r="R11" s="11" t="s">
        <v>106</v>
      </c>
      <c r="S11" s="11" t="s">
        <v>126</v>
      </c>
      <c r="T11" s="14" t="str">
        <f>IF(OR(R11="",S11=""),"",CHOOSE(MATCH(R11,Listas!$X$5:$X$7,0)+MATCH(S11,Listas!$Z$5:$Z$7,0)-1,"Alta","Alta","Média","Baixa","Baixa"))</f>
        <v>Baixa</v>
      </c>
      <c r="U11" s="11" t="s">
        <v>875</v>
      </c>
      <c r="V11" s="19" t="s">
        <v>129</v>
      </c>
      <c r="W11" s="7"/>
      <c r="X11" s="14" t="str">
        <f t="array" ref="X11">IFERROR(INDEX(Listas!$D$5:$D$17,MATCH(F11,Listas!$C$5:$C$17,0)),"")</f>
        <v>eisenberg-2025</v>
      </c>
      <c r="Y11" s="14" t="str">
        <f t="shared" si="2"/>
        <v>3.2</v>
      </c>
      <c r="Z11" s="10"/>
    </row>
    <row r="12" ht="134.25" customHeight="1">
      <c r="A12" s="24">
        <v>11.0</v>
      </c>
      <c r="B12" s="25" t="s">
        <v>109</v>
      </c>
      <c r="C12" s="26" t="s">
        <v>911</v>
      </c>
      <c r="D12" s="26" t="s">
        <v>914</v>
      </c>
      <c r="E12" s="26" t="s">
        <v>916</v>
      </c>
      <c r="F12" s="25" t="s">
        <v>163</v>
      </c>
      <c r="G12" s="25" t="s">
        <v>138</v>
      </c>
      <c r="H12" s="27" t="s">
        <v>918</v>
      </c>
      <c r="I12" s="25" t="s">
        <v>919</v>
      </c>
      <c r="J12" s="25" t="s">
        <v>109</v>
      </c>
      <c r="K12" s="25" t="s">
        <v>920</v>
      </c>
      <c r="L12" s="25" t="s">
        <v>52</v>
      </c>
      <c r="M12" s="24" t="str">
        <f t="shared" si="1"/>
        <v>Não</v>
      </c>
      <c r="N12" s="25" t="s">
        <v>924</v>
      </c>
      <c r="O12" s="25" t="s">
        <v>925</v>
      </c>
      <c r="P12" s="25" t="s">
        <v>927</v>
      </c>
      <c r="Q12" s="25" t="s">
        <v>124</v>
      </c>
      <c r="R12" s="25" t="s">
        <v>89</v>
      </c>
      <c r="S12" s="25" t="s">
        <v>126</v>
      </c>
      <c r="T12" s="28" t="str">
        <f>IF(OR(R12="",S12=""),"",CHOOSE(MATCH(R12,Listas!$X$5:$X$7,0)+MATCH(S12,Listas!$Z$5:$Z$7,0)-1,"Alta","Alta","Média","Baixa","Baixa"))</f>
        <v>Média</v>
      </c>
      <c r="U12" s="25" t="s">
        <v>941</v>
      </c>
      <c r="V12" s="19" t="s">
        <v>129</v>
      </c>
      <c r="W12" s="29"/>
      <c r="X12" s="24" t="str">
        <f t="array" ref="X12">IFERROR(INDEX(Listas!$D$5:$D$17,MATCH(F12,Listas!$C$5:$C$17,0)),"")</f>
        <v>fli-2024</v>
      </c>
      <c r="Y12" s="24" t="str">
        <f t="shared" si="2"/>
        <v>3.1</v>
      </c>
      <c r="Z12" s="30"/>
    </row>
    <row r="13" ht="129.75" customHeight="1">
      <c r="A13" s="24">
        <v>12.0</v>
      </c>
      <c r="B13" s="25" t="s">
        <v>109</v>
      </c>
      <c r="C13" s="26" t="s">
        <v>982</v>
      </c>
      <c r="D13" s="26" t="s">
        <v>983</v>
      </c>
      <c r="E13" s="26" t="s">
        <v>984</v>
      </c>
      <c r="F13" s="26" t="s">
        <v>132</v>
      </c>
      <c r="G13" s="25" t="s">
        <v>138</v>
      </c>
      <c r="H13" s="25" t="s">
        <v>986</v>
      </c>
      <c r="I13" s="25" t="s">
        <v>988</v>
      </c>
      <c r="J13" s="25" t="s">
        <v>109</v>
      </c>
      <c r="K13" s="25" t="s">
        <v>990</v>
      </c>
      <c r="L13" s="25" t="s">
        <v>52</v>
      </c>
      <c r="M13" s="24" t="str">
        <f t="shared" si="1"/>
        <v>Não</v>
      </c>
      <c r="N13" s="25" t="s">
        <v>992</v>
      </c>
      <c r="O13" s="25" t="s">
        <v>993</v>
      </c>
      <c r="P13" s="25" t="s">
        <v>994</v>
      </c>
      <c r="Q13" s="25" t="s">
        <v>124</v>
      </c>
      <c r="R13" s="25" t="s">
        <v>89</v>
      </c>
      <c r="S13" s="25" t="s">
        <v>126</v>
      </c>
      <c r="T13" s="24" t="str">
        <f>IF(OR(R13="",S13=""),"",CHOOSE(MATCH(R13,Listas!$X$5:$X$7,0)+MATCH(S13,Listas!$Z$5:$Z$7,0)-1,"Alta","Alta","Média","Baixa","Baixa"))</f>
        <v>Média</v>
      </c>
      <c r="U13" s="25" t="s">
        <v>1006</v>
      </c>
      <c r="V13" s="19" t="s">
        <v>129</v>
      </c>
      <c r="W13" s="29"/>
      <c r="X13" s="24" t="str">
        <f t="array" ref="X13">IFERROR(INDEX(Listas!$D$5:$D$17,MATCH(F13,Listas!$C$5:$C$17,0)),"")</f>
        <v>gipiskis-2024</v>
      </c>
      <c r="Y13" s="24" t="str">
        <f t="shared" si="2"/>
        <v>3.1</v>
      </c>
      <c r="Z13" s="30"/>
    </row>
    <row r="14" ht="124.5" customHeight="1">
      <c r="A14" s="24">
        <v>13.0</v>
      </c>
      <c r="B14" s="25" t="s">
        <v>109</v>
      </c>
      <c r="C14" s="26" t="s">
        <v>1049</v>
      </c>
      <c r="D14" s="25" t="s">
        <v>1051</v>
      </c>
      <c r="E14" s="25" t="s">
        <v>1052</v>
      </c>
      <c r="F14" s="26" t="s">
        <v>132</v>
      </c>
      <c r="G14" s="25" t="s">
        <v>138</v>
      </c>
      <c r="H14" s="25" t="s">
        <v>1056</v>
      </c>
      <c r="I14" s="25" t="s">
        <v>1058</v>
      </c>
      <c r="J14" s="25" t="s">
        <v>109</v>
      </c>
      <c r="K14" s="25" t="s">
        <v>990</v>
      </c>
      <c r="L14" s="25" t="s">
        <v>52</v>
      </c>
      <c r="M14" s="24" t="str">
        <f t="shared" si="1"/>
        <v>Não</v>
      </c>
      <c r="N14" s="25" t="s">
        <v>990</v>
      </c>
      <c r="O14" s="25" t="s">
        <v>1060</v>
      </c>
      <c r="P14" s="25" t="s">
        <v>1061</v>
      </c>
      <c r="Q14" s="25" t="s">
        <v>105</v>
      </c>
      <c r="R14" s="25" t="s">
        <v>89</v>
      </c>
      <c r="S14" s="25" t="s">
        <v>126</v>
      </c>
      <c r="T14" s="28" t="str">
        <f>IF(OR(R14="",S14=""),"",CHOOSE(MATCH(R14,Listas!$X$5:$X$7,0)+MATCH(S14,Listas!$Z$5:$Z$7,0)-1,"Alta","Alta","Média","Baixa","Baixa"))</f>
        <v>Média</v>
      </c>
      <c r="U14" s="25" t="s">
        <v>1075</v>
      </c>
      <c r="V14" s="19" t="s">
        <v>129</v>
      </c>
      <c r="W14" s="29"/>
      <c r="X14" s="24" t="str">
        <f t="array" ref="X14">IFERROR(INDEX(Listas!$D$5:$D$17,MATCH(F14,Listas!$C$5:$C$17,0)),"")</f>
        <v>gipiskis-2024</v>
      </c>
      <c r="Y14" s="24" t="str">
        <f t="shared" si="2"/>
        <v>3.1</v>
      </c>
      <c r="Z14" s="30"/>
    </row>
    <row r="15" ht="136.5" customHeight="1">
      <c r="A15" s="24">
        <v>15.0</v>
      </c>
      <c r="B15" s="25" t="s">
        <v>109</v>
      </c>
      <c r="C15" s="26" t="s">
        <v>1108</v>
      </c>
      <c r="D15" s="25" t="s">
        <v>1109</v>
      </c>
      <c r="E15" s="25" t="s">
        <v>1110</v>
      </c>
      <c r="F15" s="26" t="s">
        <v>132</v>
      </c>
      <c r="G15" s="25" t="s">
        <v>85</v>
      </c>
      <c r="H15" s="25" t="s">
        <v>1113</v>
      </c>
      <c r="I15" s="25" t="s">
        <v>1114</v>
      </c>
      <c r="J15" s="25" t="s">
        <v>109</v>
      </c>
      <c r="K15" s="25" t="s">
        <v>368</v>
      </c>
      <c r="L15" s="25" t="s">
        <v>52</v>
      </c>
      <c r="M15" s="24" t="str">
        <f t="shared" si="1"/>
        <v>Não</v>
      </c>
      <c r="N15" s="25" t="s">
        <v>1116</v>
      </c>
      <c r="O15" s="25" t="s">
        <v>1117</v>
      </c>
      <c r="P15" s="25" t="s">
        <v>1119</v>
      </c>
      <c r="Q15" s="25" t="s">
        <v>105</v>
      </c>
      <c r="R15" s="25" t="s">
        <v>89</v>
      </c>
      <c r="S15" s="25" t="s">
        <v>126</v>
      </c>
      <c r="T15" s="28" t="str">
        <f>IF(OR(R15="",S15=""),"",CHOOSE(MATCH(R15,Listas!$X$5:$X$7,0)+MATCH(S15,Listas!$Z$5:$Z$7,0)-1,"Alta","Alta","Média","Baixa","Baixa"))</f>
        <v>Média</v>
      </c>
      <c r="U15" s="25" t="s">
        <v>1127</v>
      </c>
      <c r="V15" s="19" t="s">
        <v>129</v>
      </c>
      <c r="W15" s="29"/>
      <c r="X15" s="24" t="str">
        <f t="array" ref="X15">IFERROR(INDEX(Listas!$D$5:$D$17,MATCH(F15,Listas!$C$5:$C$17,0)),"")</f>
        <v>gipiskis-2024</v>
      </c>
      <c r="Y15" s="24" t="str">
        <f t="shared" si="2"/>
        <v>1.2</v>
      </c>
      <c r="Z15" s="30"/>
    </row>
    <row r="16" ht="123.75" customHeight="1">
      <c r="A16" s="24">
        <v>14.0</v>
      </c>
      <c r="B16" s="25" t="s">
        <v>109</v>
      </c>
      <c r="C16" s="26" t="s">
        <v>1159</v>
      </c>
      <c r="D16" s="25" t="s">
        <v>1160</v>
      </c>
      <c r="E16" s="25" t="s">
        <v>1161</v>
      </c>
      <c r="F16" s="26" t="s">
        <v>132</v>
      </c>
      <c r="G16" s="25" t="s">
        <v>250</v>
      </c>
      <c r="H16" s="25" t="s">
        <v>1163</v>
      </c>
      <c r="I16" s="25" t="s">
        <v>503</v>
      </c>
      <c r="J16" s="25" t="s">
        <v>109</v>
      </c>
      <c r="K16" s="25" t="s">
        <v>503</v>
      </c>
      <c r="L16" s="25" t="s">
        <v>52</v>
      </c>
      <c r="M16" s="24" t="str">
        <f t="shared" si="1"/>
        <v>Sim</v>
      </c>
      <c r="N16" s="25" t="s">
        <v>503</v>
      </c>
      <c r="O16" s="25" t="s">
        <v>1168</v>
      </c>
      <c r="P16" s="25" t="s">
        <v>1169</v>
      </c>
      <c r="Q16" s="25" t="s">
        <v>105</v>
      </c>
      <c r="R16" s="25" t="s">
        <v>89</v>
      </c>
      <c r="S16" s="25" t="s">
        <v>126</v>
      </c>
      <c r="T16" s="24" t="str">
        <f>IF(OR(R16="",S16=""),"",CHOOSE(MATCH(R16,Listas!$X$5:$X$7,0)+MATCH(S16,Listas!$Z$5:$Z$7,0)-1,"Alta","Alta","Média","Baixa","Baixa"))</f>
        <v>Média</v>
      </c>
      <c r="U16" s="25" t="s">
        <v>1180</v>
      </c>
      <c r="V16" s="19" t="s">
        <v>129</v>
      </c>
      <c r="W16" s="29"/>
      <c r="X16" s="24" t="str">
        <f t="array" ref="X16">IFERROR(INDEX(Listas!$D$5:$D$17,MATCH(F16,Listas!$C$5:$C$17,0)),"")</f>
        <v>gipiskis-2024</v>
      </c>
      <c r="Y16" s="24" t="str">
        <f t="shared" si="2"/>
        <v>3.4</v>
      </c>
      <c r="Z16" s="30"/>
    </row>
    <row r="17" ht="162.75" customHeight="1">
      <c r="A17" s="24">
        <v>16.0</v>
      </c>
      <c r="B17" s="25" t="s">
        <v>109</v>
      </c>
      <c r="C17" s="26" t="s">
        <v>1219</v>
      </c>
      <c r="D17" s="25" t="s">
        <v>1221</v>
      </c>
      <c r="E17" s="25" t="s">
        <v>1223</v>
      </c>
      <c r="F17" s="26" t="s">
        <v>132</v>
      </c>
      <c r="G17" s="25" t="s">
        <v>220</v>
      </c>
      <c r="H17" s="25" t="s">
        <v>1225</v>
      </c>
      <c r="I17" s="25" t="s">
        <v>1226</v>
      </c>
      <c r="J17" s="25" t="s">
        <v>109</v>
      </c>
      <c r="K17" s="25" t="s">
        <v>1226</v>
      </c>
      <c r="L17" s="25" t="s">
        <v>52</v>
      </c>
      <c r="M17" s="24" t="str">
        <f t="shared" si="1"/>
        <v>Sim</v>
      </c>
      <c r="N17" s="25" t="s">
        <v>1226</v>
      </c>
      <c r="O17" s="25" t="s">
        <v>1231</v>
      </c>
      <c r="P17" s="25" t="s">
        <v>1232</v>
      </c>
      <c r="Q17" s="25" t="s">
        <v>88</v>
      </c>
      <c r="R17" s="25" t="s">
        <v>89</v>
      </c>
      <c r="S17" s="25" t="s">
        <v>126</v>
      </c>
      <c r="T17" s="24" t="str">
        <f>IF(OR(R17="",S17=""),"",CHOOSE(MATCH(R17,Listas!$X$5:$X$7,0)+MATCH(S17,Listas!$Z$5:$Z$7,0)-1,"Alta","Alta","Média","Baixa","Baixa"))</f>
        <v>Média</v>
      </c>
      <c r="U17" s="25" t="s">
        <v>1243</v>
      </c>
      <c r="V17" s="19" t="s">
        <v>129</v>
      </c>
      <c r="W17" s="29"/>
      <c r="X17" s="24" t="str">
        <f t="array" ref="X17">IFERROR(INDEX(Listas!$D$5:$D$17,MATCH(F17,Listas!$C$5:$C$17,0)),"")</f>
        <v>gipiskis-2024</v>
      </c>
      <c r="Y17" s="24" t="str">
        <f t="shared" si="2"/>
        <v>2.4</v>
      </c>
      <c r="Z17" s="30"/>
    </row>
    <row r="18" ht="161.25" customHeight="1">
      <c r="A18" s="24">
        <v>17.0</v>
      </c>
      <c r="B18" s="25" t="s">
        <v>109</v>
      </c>
      <c r="C18" s="26" t="s">
        <v>1263</v>
      </c>
      <c r="D18" s="25" t="s">
        <v>1264</v>
      </c>
      <c r="E18" s="25" t="s">
        <v>1265</v>
      </c>
      <c r="F18" s="25" t="s">
        <v>132</v>
      </c>
      <c r="G18" s="25" t="s">
        <v>259</v>
      </c>
      <c r="H18" s="25" t="s">
        <v>1268</v>
      </c>
      <c r="I18" s="25" t="s">
        <v>1269</v>
      </c>
      <c r="J18" s="25" t="s">
        <v>109</v>
      </c>
      <c r="K18" s="25" t="s">
        <v>1270</v>
      </c>
      <c r="L18" s="25" t="s">
        <v>52</v>
      </c>
      <c r="M18" s="24" t="str">
        <f t="shared" si="1"/>
        <v>Não</v>
      </c>
      <c r="N18" s="25" t="s">
        <v>1270</v>
      </c>
      <c r="O18" s="25" t="s">
        <v>1271</v>
      </c>
      <c r="P18" s="25" t="s">
        <v>1272</v>
      </c>
      <c r="Q18" s="25" t="s">
        <v>105</v>
      </c>
      <c r="R18" s="25" t="s">
        <v>89</v>
      </c>
      <c r="S18" s="25" t="s">
        <v>126</v>
      </c>
      <c r="T18" s="24" t="str">
        <f>IF(OR(R18="",S18=""),"",CHOOSE(MATCH(R18,Listas!$X$5:$X$7,0)+MATCH(S18,Listas!$Z$5:$Z$7,0)-1,"Alta","Alta","Média","Baixa","Baixa"))</f>
        <v>Média</v>
      </c>
      <c r="U18" s="25" t="s">
        <v>1278</v>
      </c>
      <c r="V18" s="19" t="s">
        <v>129</v>
      </c>
      <c r="W18" s="29"/>
      <c r="X18" s="24" t="str">
        <f t="array" ref="X18">IFERROR(INDEX(Listas!$D$5:$D$17,MATCH(F18,Listas!$C$5:$C$17,0)),"")</f>
        <v>gipiskis-2024</v>
      </c>
      <c r="Y18" s="24" t="str">
        <f t="shared" si="2"/>
        <v>3.5</v>
      </c>
      <c r="Z18" s="30"/>
    </row>
    <row r="19" ht="117.0" customHeight="1">
      <c r="A19" s="24">
        <v>18.0</v>
      </c>
      <c r="B19" s="25" t="s">
        <v>109</v>
      </c>
      <c r="C19" s="26" t="s">
        <v>1305</v>
      </c>
      <c r="D19" s="25" t="s">
        <v>1306</v>
      </c>
      <c r="E19" s="25" t="s">
        <v>1307</v>
      </c>
      <c r="F19" s="26" t="s">
        <v>132</v>
      </c>
      <c r="G19" s="25" t="s">
        <v>291</v>
      </c>
      <c r="H19" s="25" t="s">
        <v>1308</v>
      </c>
      <c r="I19" s="25" t="s">
        <v>503</v>
      </c>
      <c r="J19" s="25" t="s">
        <v>109</v>
      </c>
      <c r="K19" s="25" t="s">
        <v>1310</v>
      </c>
      <c r="L19" s="25" t="s">
        <v>52</v>
      </c>
      <c r="M19" s="24" t="str">
        <f t="shared" si="1"/>
        <v>Não</v>
      </c>
      <c r="N19" s="25" t="s">
        <v>1310</v>
      </c>
      <c r="O19" s="25" t="s">
        <v>1313</v>
      </c>
      <c r="P19" s="25" t="s">
        <v>1314</v>
      </c>
      <c r="Q19" s="25" t="s">
        <v>88</v>
      </c>
      <c r="R19" s="25" t="s">
        <v>89</v>
      </c>
      <c r="S19" s="25" t="s">
        <v>126</v>
      </c>
      <c r="T19" s="24" t="str">
        <f>IF(OR(R19="",S19=""),"",CHOOSE(MATCH(R19,Listas!$X$5:$X$7,0)+MATCH(S19,Listas!$Z$5:$Z$7,0)-1,"Alta","Alta","Média","Baixa","Baixa"))</f>
        <v>Média</v>
      </c>
      <c r="U19" s="25" t="s">
        <v>1318</v>
      </c>
      <c r="V19" s="19" t="s">
        <v>129</v>
      </c>
      <c r="W19" s="29"/>
      <c r="X19" s="24" t="str">
        <f t="array" ref="X19">IFERROR(INDEX(Listas!$D$5:$D$17,MATCH(F19,Listas!$C$5:$C$17,0)),"")</f>
        <v>gipiskis-2024</v>
      </c>
      <c r="Y19" s="24" t="str">
        <f t="shared" si="2"/>
        <v>4.3</v>
      </c>
      <c r="Z19" s="30"/>
    </row>
    <row r="20" ht="126.0" customHeight="1">
      <c r="A20" s="24">
        <v>19.0</v>
      </c>
      <c r="B20" s="25" t="s">
        <v>109</v>
      </c>
      <c r="C20" s="26" t="s">
        <v>1343</v>
      </c>
      <c r="D20" s="25" t="s">
        <v>1345</v>
      </c>
      <c r="E20" s="26" t="s">
        <v>1347</v>
      </c>
      <c r="F20" s="25" t="s">
        <v>132</v>
      </c>
      <c r="G20" s="25" t="s">
        <v>213</v>
      </c>
      <c r="H20" s="25" t="s">
        <v>1349</v>
      </c>
      <c r="I20" s="25" t="s">
        <v>1350</v>
      </c>
      <c r="J20" s="25" t="s">
        <v>109</v>
      </c>
      <c r="K20" s="25" t="s">
        <v>1350</v>
      </c>
      <c r="L20" s="25" t="s">
        <v>52</v>
      </c>
      <c r="M20" s="24" t="str">
        <f t="shared" si="1"/>
        <v>Sim</v>
      </c>
      <c r="N20" s="25" t="s">
        <v>1350</v>
      </c>
      <c r="O20" s="25" t="s">
        <v>1351</v>
      </c>
      <c r="P20" s="25" t="s">
        <v>1352</v>
      </c>
      <c r="Q20" s="25" t="s">
        <v>105</v>
      </c>
      <c r="R20" s="25" t="s">
        <v>89</v>
      </c>
      <c r="S20" s="25" t="s">
        <v>126</v>
      </c>
      <c r="T20" s="24" t="str">
        <f>IF(OR(R20="",S20=""),"",CHOOSE(MATCH(R20,Listas!$X$5:$X$7,0)+MATCH(S20,Listas!$Z$5:$Z$7,0)-1,"Alta","Alta","Média","Baixa","Baixa"))</f>
        <v>Média</v>
      </c>
      <c r="U20" s="25" t="s">
        <v>1359</v>
      </c>
      <c r="V20" s="19" t="s">
        <v>129</v>
      </c>
      <c r="W20" s="29"/>
      <c r="X20" s="24" t="str">
        <f t="array" ref="X20">IFERROR(INDEX(Listas!$D$5:$D$17,MATCH(F20,Listas!$C$5:$C$17,0)),"")</f>
        <v>gipiskis-2024</v>
      </c>
      <c r="Y20" s="24" t="str">
        <f t="shared" si="2"/>
        <v>2.3</v>
      </c>
      <c r="Z20" s="30"/>
    </row>
    <row r="21" ht="163.5" customHeight="1">
      <c r="A21" s="24">
        <v>20.0</v>
      </c>
      <c r="B21" s="25" t="s">
        <v>109</v>
      </c>
      <c r="C21" s="26" t="s">
        <v>1385</v>
      </c>
      <c r="D21" s="25" t="s">
        <v>1386</v>
      </c>
      <c r="E21" s="26" t="s">
        <v>1387</v>
      </c>
      <c r="F21" s="25" t="s">
        <v>132</v>
      </c>
      <c r="G21" s="25" t="s">
        <v>138</v>
      </c>
      <c r="H21" s="25" t="s">
        <v>1391</v>
      </c>
      <c r="I21" s="25" t="s">
        <v>1350</v>
      </c>
      <c r="J21" s="25" t="s">
        <v>109</v>
      </c>
      <c r="K21" s="25" t="s">
        <v>1350</v>
      </c>
      <c r="L21" s="25" t="s">
        <v>52</v>
      </c>
      <c r="M21" s="24" t="str">
        <f t="shared" si="1"/>
        <v>Sim</v>
      </c>
      <c r="N21" s="25" t="s">
        <v>1350</v>
      </c>
      <c r="O21" s="25" t="s">
        <v>1393</v>
      </c>
      <c r="P21" s="25" t="s">
        <v>1394</v>
      </c>
      <c r="Q21" s="25" t="s">
        <v>124</v>
      </c>
      <c r="R21" s="25" t="s">
        <v>89</v>
      </c>
      <c r="S21" s="25" t="s">
        <v>126</v>
      </c>
      <c r="T21" s="28" t="str">
        <f>IF(OR(R21="",S21=""),"",CHOOSE(MATCH(R21,Listas!$X$5:$X$7,0)+MATCH(S21,Listas!$Z$5:$Z$7,0)-1,"Alta","Alta","Média","Baixa","Baixa"))</f>
        <v>Média</v>
      </c>
      <c r="U21" s="25" t="s">
        <v>1407</v>
      </c>
      <c r="V21" s="19" t="s">
        <v>129</v>
      </c>
      <c r="W21" s="29"/>
      <c r="X21" s="24" t="str">
        <f t="array" ref="X21">IFERROR(INDEX(Listas!$D$5:$D$17,MATCH(F21,Listas!$C$5:$C$17,0)),"")</f>
        <v>gipiskis-2024</v>
      </c>
      <c r="Y21" s="24" t="str">
        <f t="shared" si="2"/>
        <v>3.1</v>
      </c>
      <c r="Z21" s="30"/>
    </row>
    <row r="22" ht="165.75" customHeight="1">
      <c r="A22" s="14">
        <v>21.0</v>
      </c>
      <c r="B22" s="11" t="s">
        <v>52</v>
      </c>
      <c r="C22" s="11" t="s">
        <v>272</v>
      </c>
      <c r="D22" s="11" t="s">
        <v>274</v>
      </c>
      <c r="E22" s="11" t="s">
        <v>1432</v>
      </c>
      <c r="F22" s="11" t="s">
        <v>46</v>
      </c>
      <c r="G22" s="11" t="s">
        <v>148</v>
      </c>
      <c r="H22" s="11" t="s">
        <v>1433</v>
      </c>
      <c r="I22" s="11" t="s">
        <v>1434</v>
      </c>
      <c r="J22" s="11" t="s">
        <v>52</v>
      </c>
      <c r="K22" s="11" t="s">
        <v>503</v>
      </c>
      <c r="L22" s="11" t="s">
        <v>71</v>
      </c>
      <c r="M22" s="14" t="str">
        <f t="shared" si="1"/>
        <v>Não</v>
      </c>
      <c r="N22" s="11" t="s">
        <v>503</v>
      </c>
      <c r="O22" s="11" t="s">
        <v>1438</v>
      </c>
      <c r="P22" s="11" t="s">
        <v>1439</v>
      </c>
      <c r="Q22" s="11" t="s">
        <v>105</v>
      </c>
      <c r="R22" s="11" t="s">
        <v>106</v>
      </c>
      <c r="S22" s="11" t="s">
        <v>126</v>
      </c>
      <c r="T22" s="14" t="str">
        <f>IF(OR(R22="",S22=""),"",CHOOSE(MATCH(R22,Listas!$X$5:$X$7,0)+MATCH(S22,Listas!$Z$5:$Z$7,0)-1,"Alta","Alta","Média","Baixa","Baixa"))</f>
        <v>Baixa</v>
      </c>
      <c r="U22" s="11" t="s">
        <v>1447</v>
      </c>
      <c r="V22" s="19" t="s">
        <v>129</v>
      </c>
      <c r="W22" s="11" t="s">
        <v>1448</v>
      </c>
      <c r="X22" s="14" t="str">
        <f t="array" ref="X22">IFERROR(INDEX(Listas!$D$5:$D$17,MATCH(F22,Listas!$C$5:$C$17,0)),"")</f>
        <v>nist-2024</v>
      </c>
      <c r="Y22" s="14" t="str">
        <f t="shared" si="2"/>
        <v>1.5</v>
      </c>
      <c r="Z22" s="10"/>
    </row>
    <row r="23" ht="148.5" customHeight="1">
      <c r="A23" s="14">
        <v>22.0</v>
      </c>
      <c r="B23" s="11" t="s">
        <v>52</v>
      </c>
      <c r="C23" s="11" t="s">
        <v>282</v>
      </c>
      <c r="D23" s="11" t="s">
        <v>283</v>
      </c>
      <c r="E23" s="11" t="s">
        <v>1472</v>
      </c>
      <c r="F23" s="11" t="s">
        <v>46</v>
      </c>
      <c r="G23" s="11" t="s">
        <v>220</v>
      </c>
      <c r="H23" s="11" t="s">
        <v>1474</v>
      </c>
      <c r="I23" s="11" t="s">
        <v>1434</v>
      </c>
      <c r="J23" s="11" t="s">
        <v>52</v>
      </c>
      <c r="K23" s="11" t="s">
        <v>1477</v>
      </c>
      <c r="L23" s="11" t="s">
        <v>71</v>
      </c>
      <c r="M23" s="14" t="str">
        <f t="shared" si="1"/>
        <v>Não</v>
      </c>
      <c r="N23" s="11" t="s">
        <v>1477</v>
      </c>
      <c r="O23" s="11" t="s">
        <v>1478</v>
      </c>
      <c r="P23" s="11" t="s">
        <v>1479</v>
      </c>
      <c r="Q23" s="11" t="s">
        <v>105</v>
      </c>
      <c r="R23" s="11" t="s">
        <v>106</v>
      </c>
      <c r="S23" s="11" t="s">
        <v>106</v>
      </c>
      <c r="T23" s="14" t="str">
        <f>IF(OR(R23="",S23=""),"",CHOOSE(MATCH(R23,Listas!$X$5:$X$7,0)+MATCH(S23,Listas!$Z$5:$Z$7,0)-1,"Alta","Alta","Média","Baixa","Baixa"))</f>
        <v>Média</v>
      </c>
      <c r="U23" s="11" t="s">
        <v>1492</v>
      </c>
      <c r="V23" s="19" t="s">
        <v>129</v>
      </c>
      <c r="W23" s="7"/>
      <c r="X23" s="14" t="str">
        <f t="array" ref="X23">IFERROR(INDEX(Listas!$D$5:$D$17,MATCH(F23,Listas!$C$5:$C$17,0)),"")</f>
        <v>nist-2024</v>
      </c>
      <c r="Y23" s="14" t="str">
        <f t="shared" si="2"/>
        <v>2.4</v>
      </c>
      <c r="Z23" s="10"/>
    </row>
    <row r="24" ht="134.25" customHeight="1">
      <c r="A24" s="14">
        <v>23.0</v>
      </c>
      <c r="B24" s="11" t="s">
        <v>52</v>
      </c>
      <c r="C24" s="11" t="s">
        <v>485</v>
      </c>
      <c r="D24" s="11" t="s">
        <v>486</v>
      </c>
      <c r="E24" s="11" t="s">
        <v>1520</v>
      </c>
      <c r="F24" s="11" t="s">
        <v>46</v>
      </c>
      <c r="G24" s="11" t="s">
        <v>243</v>
      </c>
      <c r="H24" s="11" t="s">
        <v>1524</v>
      </c>
      <c r="I24" s="11" t="s">
        <v>1525</v>
      </c>
      <c r="J24" s="11" t="s">
        <v>52</v>
      </c>
      <c r="K24" s="11" t="s">
        <v>1525</v>
      </c>
      <c r="L24" s="11" t="s">
        <v>71</v>
      </c>
      <c r="M24" s="14" t="str">
        <f t="shared" si="1"/>
        <v>Sim</v>
      </c>
      <c r="N24" s="11" t="s">
        <v>1525</v>
      </c>
      <c r="O24" s="11" t="s">
        <v>1526</v>
      </c>
      <c r="P24" s="11" t="s">
        <v>1528</v>
      </c>
      <c r="Q24" s="11" t="s">
        <v>105</v>
      </c>
      <c r="R24" s="11" t="s">
        <v>106</v>
      </c>
      <c r="S24" s="11" t="s">
        <v>126</v>
      </c>
      <c r="T24" s="14" t="str">
        <f>IF(OR(R24="",S24=""),"",CHOOSE(MATCH(R24,Listas!$X$5:$X$7,0)+MATCH(S24,Listas!$Z$5:$Z$7,0)-1,"Alta","Alta","Média","Baixa","Baixa"))</f>
        <v>Baixa</v>
      </c>
      <c r="U24" s="11" t="s">
        <v>1534</v>
      </c>
      <c r="V24" s="19" t="s">
        <v>129</v>
      </c>
      <c r="W24" s="7"/>
      <c r="X24" s="14" t="str">
        <f t="array" ref="X24">IFERROR(INDEX(Listas!$D$5:$D$17,MATCH(F24,Listas!$C$5:$C$17,0)),"")</f>
        <v>nist-2024</v>
      </c>
      <c r="Y24" s="14" t="str">
        <f t="shared" si="2"/>
        <v>3.3</v>
      </c>
      <c r="Z24" s="10"/>
    </row>
    <row r="25" ht="128.25" customHeight="1">
      <c r="A25" s="14">
        <v>24.0</v>
      </c>
      <c r="B25" s="11" t="s">
        <v>52</v>
      </c>
      <c r="C25" s="11" t="s">
        <v>671</v>
      </c>
      <c r="D25" s="11" t="s">
        <v>672</v>
      </c>
      <c r="E25" s="11" t="s">
        <v>1550</v>
      </c>
      <c r="F25" s="11" t="s">
        <v>46</v>
      </c>
      <c r="G25" s="11" t="s">
        <v>220</v>
      </c>
      <c r="H25" s="11" t="s">
        <v>1553</v>
      </c>
      <c r="I25" s="11" t="s">
        <v>1554</v>
      </c>
      <c r="J25" s="11" t="s">
        <v>52</v>
      </c>
      <c r="K25" s="11" t="s">
        <v>1554</v>
      </c>
      <c r="L25" s="11" t="s">
        <v>71</v>
      </c>
      <c r="M25" s="14" t="str">
        <f t="shared" si="1"/>
        <v>Sim</v>
      </c>
      <c r="N25" s="11" t="s">
        <v>1554</v>
      </c>
      <c r="O25" s="11" t="s">
        <v>1558</v>
      </c>
      <c r="P25" s="11" t="s">
        <v>1559</v>
      </c>
      <c r="Q25" s="11" t="s">
        <v>105</v>
      </c>
      <c r="R25" s="11" t="s">
        <v>106</v>
      </c>
      <c r="S25" s="11" t="s">
        <v>106</v>
      </c>
      <c r="T25" s="14" t="str">
        <f>IF(OR(R25="",S25=""),"",CHOOSE(MATCH(R25,Listas!$X$5:$X$7,0)+MATCH(S25,Listas!$Z$5:$Z$7,0)-1,"Alta","Alta","Média","Baixa","Baixa"))</f>
        <v>Média</v>
      </c>
      <c r="U25" s="11" t="s">
        <v>1570</v>
      </c>
      <c r="V25" s="19" t="s">
        <v>129</v>
      </c>
      <c r="W25" s="7"/>
      <c r="X25" s="14" t="str">
        <f t="array" ref="X25">IFERROR(INDEX(Listas!$D$5:$D$17,MATCH(F25,Listas!$C$5:$C$17,0)),"")</f>
        <v>nist-2024</v>
      </c>
      <c r="Y25" s="14" t="str">
        <f t="shared" si="2"/>
        <v>2.4</v>
      </c>
      <c r="Z25" s="10"/>
    </row>
    <row r="26" ht="114.0" customHeight="1">
      <c r="A26" s="14">
        <v>25.0</v>
      </c>
      <c r="B26" s="11" t="s">
        <v>52</v>
      </c>
      <c r="C26" s="11" t="s">
        <v>814</v>
      </c>
      <c r="D26" s="11" t="s">
        <v>815</v>
      </c>
      <c r="E26" s="11" t="s">
        <v>1596</v>
      </c>
      <c r="F26" s="11" t="s">
        <v>46</v>
      </c>
      <c r="G26" s="11" t="s">
        <v>259</v>
      </c>
      <c r="H26" s="11" t="s">
        <v>1601</v>
      </c>
      <c r="I26" s="11" t="s">
        <v>1602</v>
      </c>
      <c r="J26" s="11" t="s">
        <v>52</v>
      </c>
      <c r="K26" s="11" t="s">
        <v>1602</v>
      </c>
      <c r="L26" s="11" t="s">
        <v>71</v>
      </c>
      <c r="M26" s="14" t="str">
        <f t="shared" si="1"/>
        <v>Sim</v>
      </c>
      <c r="N26" s="11" t="s">
        <v>1602</v>
      </c>
      <c r="O26" s="11" t="s">
        <v>1604</v>
      </c>
      <c r="P26" s="11" t="s">
        <v>1605</v>
      </c>
      <c r="Q26" s="11" t="s">
        <v>105</v>
      </c>
      <c r="R26" s="11" t="s">
        <v>106</v>
      </c>
      <c r="S26" s="11" t="s">
        <v>106</v>
      </c>
      <c r="T26" s="14" t="str">
        <f>IF(OR(R26="",S26=""),"",CHOOSE(MATCH(R26,Listas!$X$5:$X$7,0)+MATCH(S26,Listas!$Z$5:$Z$7,0)-1,"Alta","Alta","Média","Baixa","Baixa"))</f>
        <v>Média</v>
      </c>
      <c r="U26" s="11" t="s">
        <v>1620</v>
      </c>
      <c r="V26" s="19" t="s">
        <v>129</v>
      </c>
      <c r="W26" s="7"/>
      <c r="X26" s="14" t="str">
        <f t="array" ref="X26">IFERROR(INDEX(Listas!$D$5:$D$17,MATCH(F26,Listas!$C$5:$C$17,0)),"")</f>
        <v>nist-2024</v>
      </c>
      <c r="Y26" s="14" t="str">
        <f t="shared" si="2"/>
        <v>3.5</v>
      </c>
      <c r="Z26" s="10"/>
    </row>
    <row r="27" ht="108.0" customHeight="1">
      <c r="A27" s="14">
        <v>26.0</v>
      </c>
      <c r="B27" s="11" t="s">
        <v>52</v>
      </c>
      <c r="C27" s="11" t="s">
        <v>818</v>
      </c>
      <c r="D27" s="11" t="s">
        <v>819</v>
      </c>
      <c r="E27" s="11" t="s">
        <v>1654</v>
      </c>
      <c r="F27" s="11" t="s">
        <v>46</v>
      </c>
      <c r="G27" s="11" t="s">
        <v>259</v>
      </c>
      <c r="H27" s="11" t="s">
        <v>1656</v>
      </c>
      <c r="I27" s="25">
        <v>5.1</v>
      </c>
      <c r="J27" s="11" t="s">
        <v>52</v>
      </c>
      <c r="K27" s="11" t="s">
        <v>1660</v>
      </c>
      <c r="L27" s="11" t="s">
        <v>71</v>
      </c>
      <c r="M27" s="14" t="str">
        <f t="shared" si="1"/>
        <v>Não</v>
      </c>
      <c r="N27" s="11" t="s">
        <v>1660</v>
      </c>
      <c r="O27" s="11" t="s">
        <v>1663</v>
      </c>
      <c r="P27" s="11" t="s">
        <v>1664</v>
      </c>
      <c r="Q27" s="11" t="s">
        <v>88</v>
      </c>
      <c r="R27" s="11" t="s">
        <v>89</v>
      </c>
      <c r="S27" s="11" t="s">
        <v>106</v>
      </c>
      <c r="T27" s="14" t="str">
        <f>IF(OR(R27="",S27=""),"",CHOOSE(MATCH(R27,Listas!$X$5:$X$7,0)+MATCH(S27,Listas!$Z$5:$Z$7,0)-1,"Alta","Alta","Média","Baixa","Baixa"))</f>
        <v>Alta</v>
      </c>
      <c r="U27" s="11" t="s">
        <v>1675</v>
      </c>
      <c r="V27" s="19" t="s">
        <v>129</v>
      </c>
      <c r="W27" s="11" t="s">
        <v>1677</v>
      </c>
      <c r="X27" s="14" t="str">
        <f t="array" ref="X27">IFERROR(INDEX(Listas!$D$5:$D$17,MATCH(F27,Listas!$C$5:$C$17,0)),"")</f>
        <v>nist-2024</v>
      </c>
      <c r="Y27" s="14" t="str">
        <f t="shared" si="2"/>
        <v>3.5</v>
      </c>
      <c r="Z27" s="10"/>
    </row>
    <row r="28" ht="111.0" customHeight="1">
      <c r="A28" s="14">
        <v>27.0</v>
      </c>
      <c r="B28" s="11" t="s">
        <v>52</v>
      </c>
      <c r="C28" s="11" t="s">
        <v>850</v>
      </c>
      <c r="D28" s="11" t="s">
        <v>851</v>
      </c>
      <c r="E28" s="11" t="s">
        <v>1711</v>
      </c>
      <c r="F28" s="11" t="s">
        <v>46</v>
      </c>
      <c r="G28" s="11" t="s">
        <v>213</v>
      </c>
      <c r="H28" s="11" t="s">
        <v>1712</v>
      </c>
      <c r="I28" s="11" t="s">
        <v>1713</v>
      </c>
      <c r="J28" s="11" t="s">
        <v>52</v>
      </c>
      <c r="K28" s="11" t="s">
        <v>1713</v>
      </c>
      <c r="L28" s="11" t="s">
        <v>71</v>
      </c>
      <c r="M28" s="14" t="str">
        <f t="shared" si="1"/>
        <v>Sim</v>
      </c>
      <c r="N28" s="11" t="s">
        <v>1713</v>
      </c>
      <c r="O28" s="11" t="s">
        <v>1717</v>
      </c>
      <c r="P28" s="11" t="s">
        <v>1718</v>
      </c>
      <c r="Q28" s="11" t="s">
        <v>105</v>
      </c>
      <c r="R28" s="11" t="s">
        <v>106</v>
      </c>
      <c r="S28" s="11" t="s">
        <v>106</v>
      </c>
      <c r="T28" s="14" t="str">
        <f>IF(OR(R28="",S28=""),"",CHOOSE(MATCH(R28,Listas!$X$5:$X$7,0)+MATCH(S28,Listas!$Z$5:$Z$7,0)-1,"Alta","Alta","Média","Baixa","Baixa"))</f>
        <v>Média</v>
      </c>
      <c r="U28" s="11" t="s">
        <v>1725</v>
      </c>
      <c r="V28" s="19" t="s">
        <v>129</v>
      </c>
      <c r="W28" s="7"/>
      <c r="X28" s="14" t="str">
        <f t="array" ref="X28">IFERROR(INDEX(Listas!$D$5:$D$17,MATCH(F28,Listas!$C$5:$C$17,0)),"")</f>
        <v>nist-2024</v>
      </c>
      <c r="Y28" s="14" t="str">
        <f t="shared" si="2"/>
        <v>2.3</v>
      </c>
      <c r="Z28" s="10"/>
    </row>
    <row r="29" ht="105.75" customHeight="1">
      <c r="A29" s="14">
        <v>28.0</v>
      </c>
      <c r="B29" s="11" t="s">
        <v>52</v>
      </c>
      <c r="C29" s="11" t="s">
        <v>913</v>
      </c>
      <c r="D29" s="11" t="s">
        <v>915</v>
      </c>
      <c r="E29" s="11" t="s">
        <v>1754</v>
      </c>
      <c r="F29" s="11" t="s">
        <v>46</v>
      </c>
      <c r="G29" s="11" t="s">
        <v>267</v>
      </c>
      <c r="H29" s="11" t="s">
        <v>1755</v>
      </c>
      <c r="I29" s="25">
        <v>7.3</v>
      </c>
      <c r="J29" s="11" t="s">
        <v>52</v>
      </c>
      <c r="K29" s="25" t="s">
        <v>1269</v>
      </c>
      <c r="L29" s="11" t="s">
        <v>71</v>
      </c>
      <c r="M29" s="14" t="str">
        <f t="shared" si="1"/>
        <v>Não</v>
      </c>
      <c r="N29" s="25" t="s">
        <v>1269</v>
      </c>
      <c r="O29" s="11" t="s">
        <v>1759</v>
      </c>
      <c r="P29" s="11" t="s">
        <v>1760</v>
      </c>
      <c r="Q29" s="11" t="s">
        <v>105</v>
      </c>
      <c r="R29" s="11" t="s">
        <v>106</v>
      </c>
      <c r="S29" s="11" t="s">
        <v>126</v>
      </c>
      <c r="T29" s="14" t="str">
        <f>IF(OR(R29="",S29=""),"",CHOOSE(MATCH(R29,Listas!$X$5:$X$7,0)+MATCH(S29,Listas!$Z$5:$Z$7,0)-1,"Alta","Alta","Média","Baixa","Baixa"))</f>
        <v>Baixa</v>
      </c>
      <c r="U29" s="11" t="s">
        <v>1770</v>
      </c>
      <c r="V29" s="19" t="s">
        <v>129</v>
      </c>
      <c r="W29" s="7"/>
      <c r="X29" s="14" t="str">
        <f t="array" ref="X29">IFERROR(INDEX(Listas!$D$5:$D$17,MATCH(F29,Listas!$C$5:$C$17,0)),"")</f>
        <v>nist-2024</v>
      </c>
      <c r="Y29" s="14" t="str">
        <f t="shared" si="2"/>
        <v>3.6</v>
      </c>
      <c r="Z29" s="10"/>
    </row>
    <row r="30" ht="108.75" customHeight="1">
      <c r="A30" s="14">
        <v>29.0</v>
      </c>
      <c r="B30" s="11" t="s">
        <v>52</v>
      </c>
      <c r="C30" s="11" t="s">
        <v>946</v>
      </c>
      <c r="D30" s="11" t="s">
        <v>947</v>
      </c>
      <c r="E30" s="11" t="s">
        <v>1804</v>
      </c>
      <c r="F30" s="11" t="s">
        <v>46</v>
      </c>
      <c r="G30" s="11" t="s">
        <v>138</v>
      </c>
      <c r="H30" s="11" t="s">
        <v>1808</v>
      </c>
      <c r="I30" s="11" t="s">
        <v>1809</v>
      </c>
      <c r="J30" s="11" t="s">
        <v>52</v>
      </c>
      <c r="K30" s="11" t="s">
        <v>1809</v>
      </c>
      <c r="L30" s="11" t="s">
        <v>71</v>
      </c>
      <c r="M30" s="14" t="str">
        <f t="shared" si="1"/>
        <v>Sim</v>
      </c>
      <c r="N30" s="11" t="s">
        <v>1809</v>
      </c>
      <c r="O30" s="11" t="s">
        <v>1810</v>
      </c>
      <c r="P30" s="11" t="s">
        <v>1813</v>
      </c>
      <c r="Q30" s="11" t="s">
        <v>105</v>
      </c>
      <c r="R30" s="11" t="s">
        <v>106</v>
      </c>
      <c r="S30" s="11" t="s">
        <v>126</v>
      </c>
      <c r="T30" s="14" t="str">
        <f>IF(OR(R30="",S30=""),"",CHOOSE(MATCH(R30,Listas!$X$5:$X$7,0)+MATCH(S30,Listas!$Z$5:$Z$7,0)-1,"Alta","Alta","Média","Baixa","Baixa"))</f>
        <v>Baixa</v>
      </c>
      <c r="U30" s="11" t="s">
        <v>1821</v>
      </c>
      <c r="V30" s="19" t="s">
        <v>129</v>
      </c>
      <c r="W30" s="7"/>
      <c r="X30" s="14" t="str">
        <f t="array" ref="X30">IFERROR(INDEX(Listas!$D$5:$D$17,MATCH(F30,Listas!$C$5:$C$17,0)),"")</f>
        <v>nist-2024</v>
      </c>
      <c r="Y30" s="14" t="str">
        <f t="shared" si="2"/>
        <v>3.1</v>
      </c>
      <c r="Z30" s="10"/>
    </row>
    <row r="31" ht="114.0" customHeight="1">
      <c r="A31" s="14">
        <v>30.0</v>
      </c>
      <c r="B31" s="11" t="s">
        <v>52</v>
      </c>
      <c r="C31" s="11" t="s">
        <v>971</v>
      </c>
      <c r="D31" s="11" t="s">
        <v>972</v>
      </c>
      <c r="E31" s="11" t="s">
        <v>1850</v>
      </c>
      <c r="F31" s="11" t="s">
        <v>46</v>
      </c>
      <c r="G31" s="11" t="s">
        <v>165</v>
      </c>
      <c r="H31" s="11" t="s">
        <v>1851</v>
      </c>
      <c r="I31" s="25">
        <v>6.6</v>
      </c>
      <c r="J31" s="11" t="s">
        <v>52</v>
      </c>
      <c r="K31" s="11" t="s">
        <v>1853</v>
      </c>
      <c r="L31" s="11" t="s">
        <v>71</v>
      </c>
      <c r="M31" s="14" t="str">
        <f t="shared" si="1"/>
        <v>Não</v>
      </c>
      <c r="N31" s="11" t="s">
        <v>1853</v>
      </c>
      <c r="O31" s="11" t="s">
        <v>1856</v>
      </c>
      <c r="P31" s="11" t="s">
        <v>1857</v>
      </c>
      <c r="Q31" s="11" t="s">
        <v>105</v>
      </c>
      <c r="R31" s="11" t="s">
        <v>106</v>
      </c>
      <c r="S31" s="11" t="s">
        <v>126</v>
      </c>
      <c r="T31" s="14" t="str">
        <f>IF(OR(R31="",S31=""),"",CHOOSE(MATCH(R31,Listas!$X$5:$X$7,0)+MATCH(S31,Listas!$Z$5:$Z$7,0)-1,"Alta","Alta","Média","Baixa","Baixa"))</f>
        <v>Baixa</v>
      </c>
      <c r="U31" s="11" t="s">
        <v>1863</v>
      </c>
      <c r="V31" s="19" t="s">
        <v>129</v>
      </c>
      <c r="W31" s="7"/>
      <c r="X31" s="14" t="str">
        <f t="array" ref="X31">IFERROR(INDEX(Listas!$D$5:$D$17,MATCH(F31,Listas!$C$5:$C$17,0)),"")</f>
        <v>nist-2024</v>
      </c>
      <c r="Y31" s="14" t="str">
        <f t="shared" si="2"/>
        <v>1.6</v>
      </c>
      <c r="Z31" s="10"/>
    </row>
    <row r="32">
      <c r="A32" s="14">
        <v>31.0</v>
      </c>
      <c r="B32" s="11" t="s">
        <v>92</v>
      </c>
      <c r="C32" s="7" t="s">
        <v>1275</v>
      </c>
      <c r="D32" s="7" t="s">
        <v>1276</v>
      </c>
      <c r="E32" s="11" t="s">
        <v>1892</v>
      </c>
      <c r="F32" s="7" t="s">
        <v>210</v>
      </c>
      <c r="G32" s="7" t="s">
        <v>85</v>
      </c>
      <c r="H32" s="11" t="s">
        <v>1896</v>
      </c>
      <c r="I32" s="11" t="s">
        <v>1897</v>
      </c>
      <c r="J32" s="11" t="s">
        <v>92</v>
      </c>
      <c r="K32" s="11" t="s">
        <v>1898</v>
      </c>
      <c r="L32" s="11" t="s">
        <v>109</v>
      </c>
      <c r="M32" s="34" t="s">
        <v>1899</v>
      </c>
      <c r="N32" s="11" t="s">
        <v>1903</v>
      </c>
      <c r="O32" s="11" t="s">
        <v>1904</v>
      </c>
      <c r="P32" s="11" t="s">
        <v>1905</v>
      </c>
      <c r="Q32" s="11" t="s">
        <v>105</v>
      </c>
      <c r="R32" s="11" t="s">
        <v>106</v>
      </c>
      <c r="S32" s="11" t="s">
        <v>126</v>
      </c>
      <c r="T32" s="14" t="str">
        <f>IF(OR(R32="",S32=""),"",CHOOSE(MATCH(R32,Listas!$X$5:$X$7,0)+MATCH(S32,Listas!$Z$5:$Z$7,0)-1,"Alta","Alta","Média","Baixa","Baixa"))</f>
        <v>Baixa</v>
      </c>
      <c r="U32" s="11" t="s">
        <v>1912</v>
      </c>
      <c r="V32" s="19" t="s">
        <v>129</v>
      </c>
      <c r="W32" s="7"/>
      <c r="X32" s="14" t="str">
        <f t="array" ref="X32">IFERROR(INDEX(Listas!$D$5:$D$17,MATCH(F32,Listas!$C$5:$C$17,0)),"")</f>
        <v>dsit-2023</v>
      </c>
      <c r="Y32" s="14" t="str">
        <f t="shared" si="2"/>
        <v>1.2</v>
      </c>
      <c r="Z32" s="10"/>
    </row>
    <row r="33">
      <c r="A33" s="14">
        <v>32.0</v>
      </c>
      <c r="B33" s="11" t="s">
        <v>92</v>
      </c>
      <c r="C33" s="7" t="s">
        <v>1284</v>
      </c>
      <c r="D33" s="7" t="s">
        <v>1285</v>
      </c>
      <c r="E33" s="11" t="s">
        <v>1948</v>
      </c>
      <c r="F33" s="7" t="s">
        <v>210</v>
      </c>
      <c r="G33" s="7" t="s">
        <v>85</v>
      </c>
      <c r="H33" s="11" t="s">
        <v>1949</v>
      </c>
      <c r="I33" s="11" t="s">
        <v>1950</v>
      </c>
      <c r="J33" s="11" t="s">
        <v>92</v>
      </c>
      <c r="K33" s="11" t="s">
        <v>1950</v>
      </c>
      <c r="L33" s="11" t="s">
        <v>109</v>
      </c>
      <c r="M33" s="14" t="str">
        <f t="shared" ref="M33:M61" si="3">IF(OR(I33="",K33=""),"",IF(TRIM(I33)=TRIM(K33),"Sim","Não"))</f>
        <v>Sim</v>
      </c>
      <c r="N33" s="11" t="s">
        <v>1950</v>
      </c>
      <c r="O33" s="11" t="s">
        <v>1958</v>
      </c>
      <c r="P33" s="11" t="s">
        <v>1959</v>
      </c>
      <c r="Q33" s="11" t="s">
        <v>105</v>
      </c>
      <c r="R33" s="11" t="s">
        <v>106</v>
      </c>
      <c r="S33" s="11" t="s">
        <v>126</v>
      </c>
      <c r="T33" s="14" t="str">
        <f>IF(OR(R33="",S33=""),"",CHOOSE(MATCH(R33,Listas!$X$5:$X$7,0)+MATCH(S33,Listas!$Z$5:$Z$7,0)-1,"Alta","Alta","Média","Baixa","Baixa"))</f>
        <v>Baixa</v>
      </c>
      <c r="U33" s="11" t="s">
        <v>1969</v>
      </c>
      <c r="V33" s="19" t="s">
        <v>129</v>
      </c>
      <c r="W33" s="7"/>
      <c r="X33" s="14" t="str">
        <f t="array" ref="X33">IFERROR(INDEX(Listas!$D$5:$D$17,MATCH(F33,Listas!$C$5:$C$17,0)),"")</f>
        <v>dsit-2023</v>
      </c>
      <c r="Y33" s="14" t="str">
        <f t="shared" si="2"/>
        <v>1.2</v>
      </c>
      <c r="Z33" s="10"/>
    </row>
    <row r="34">
      <c r="A34" s="14">
        <v>33.0</v>
      </c>
      <c r="B34" s="11" t="s">
        <v>92</v>
      </c>
      <c r="C34" s="7" t="s">
        <v>1290</v>
      </c>
      <c r="D34" s="7" t="s">
        <v>1291</v>
      </c>
      <c r="E34" s="11" t="s">
        <v>1992</v>
      </c>
      <c r="F34" s="7" t="s">
        <v>210</v>
      </c>
      <c r="G34" s="7" t="s">
        <v>85</v>
      </c>
      <c r="H34" s="11" t="s">
        <v>1996</v>
      </c>
      <c r="I34" s="11" t="s">
        <v>1997</v>
      </c>
      <c r="J34" s="11" t="s">
        <v>92</v>
      </c>
      <c r="K34" s="11" t="s">
        <v>1998</v>
      </c>
      <c r="L34" s="11" t="s">
        <v>109</v>
      </c>
      <c r="M34" s="14" t="str">
        <f t="shared" si="3"/>
        <v>Não</v>
      </c>
      <c r="N34" s="11" t="s">
        <v>1950</v>
      </c>
      <c r="O34" s="11" t="s">
        <v>2002</v>
      </c>
      <c r="P34" s="11" t="s">
        <v>2003</v>
      </c>
      <c r="Q34" s="11" t="s">
        <v>105</v>
      </c>
      <c r="R34" s="11" t="s">
        <v>106</v>
      </c>
      <c r="S34" s="11" t="s">
        <v>126</v>
      </c>
      <c r="T34" s="14" t="str">
        <f>IF(OR(R34="",S34=""),"",CHOOSE(MATCH(R34,Listas!$X$5:$X$7,0)+MATCH(S34,Listas!$Z$5:$Z$7,0)-1,"Alta","Alta","Média","Baixa","Baixa"))</f>
        <v>Baixa</v>
      </c>
      <c r="U34" s="11" t="s">
        <v>2012</v>
      </c>
      <c r="V34" s="19" t="s">
        <v>129</v>
      </c>
      <c r="W34" s="7"/>
      <c r="X34" s="14" t="str">
        <f t="array" ref="X34">IFERROR(INDEX(Listas!$D$5:$D$17,MATCH(F34,Listas!$C$5:$C$17,0)),"")</f>
        <v>dsit-2023</v>
      </c>
      <c r="Y34" s="14" t="str">
        <f t="shared" si="2"/>
        <v>1.2</v>
      </c>
      <c r="Z34" s="10"/>
    </row>
    <row r="35">
      <c r="A35" s="14">
        <v>34.0</v>
      </c>
      <c r="B35" s="11" t="s">
        <v>92</v>
      </c>
      <c r="C35" s="7" t="s">
        <v>1293</v>
      </c>
      <c r="D35" s="7" t="s">
        <v>1294</v>
      </c>
      <c r="E35" s="11" t="s">
        <v>2068</v>
      </c>
      <c r="F35" s="7" t="s">
        <v>210</v>
      </c>
      <c r="G35" s="7" t="s">
        <v>85</v>
      </c>
      <c r="H35" s="11" t="s">
        <v>2073</v>
      </c>
      <c r="I35" s="11" t="s">
        <v>2074</v>
      </c>
      <c r="J35" s="11" t="s">
        <v>92</v>
      </c>
      <c r="K35" s="11" t="s">
        <v>2075</v>
      </c>
      <c r="L35" s="11" t="s">
        <v>71</v>
      </c>
      <c r="M35" s="14" t="str">
        <f t="shared" si="3"/>
        <v>Não</v>
      </c>
      <c r="N35" s="11" t="s">
        <v>2078</v>
      </c>
      <c r="O35" s="11" t="s">
        <v>2081</v>
      </c>
      <c r="P35" s="11" t="s">
        <v>2082</v>
      </c>
      <c r="Q35" s="11" t="s">
        <v>105</v>
      </c>
      <c r="R35" s="11" t="s">
        <v>106</v>
      </c>
      <c r="S35" s="11" t="s">
        <v>126</v>
      </c>
      <c r="T35" s="14" t="str">
        <f>IF(OR(R35="",S35=""),"",CHOOSE(MATCH(R35,Listas!$X$5:$X$7,0)+MATCH(S35,Listas!$Z$5:$Z$7,0)-1,"Alta","Alta","Média","Baixa","Baixa"))</f>
        <v>Baixa</v>
      </c>
      <c r="U35" s="11" t="s">
        <v>2091</v>
      </c>
      <c r="V35" s="19" t="s">
        <v>129</v>
      </c>
      <c r="W35" s="7"/>
      <c r="X35" s="14" t="str">
        <f t="array" ref="X35">IFERROR(INDEX(Listas!$D$5:$D$17,MATCH(F35,Listas!$C$5:$C$17,0)),"")</f>
        <v>dsit-2023</v>
      </c>
      <c r="Y35" s="14" t="str">
        <f t="shared" si="2"/>
        <v>1.2</v>
      </c>
      <c r="Z35" s="10"/>
    </row>
    <row r="36">
      <c r="A36" s="14">
        <v>35.0</v>
      </c>
      <c r="B36" s="11" t="s">
        <v>92</v>
      </c>
      <c r="C36" s="7" t="s">
        <v>1296</v>
      </c>
      <c r="D36" s="7" t="s">
        <v>1297</v>
      </c>
      <c r="E36" s="11" t="s">
        <v>2125</v>
      </c>
      <c r="F36" s="7" t="s">
        <v>210</v>
      </c>
      <c r="G36" s="7" t="s">
        <v>85</v>
      </c>
      <c r="H36" s="11" t="s">
        <v>2126</v>
      </c>
      <c r="I36" s="11" t="s">
        <v>2127</v>
      </c>
      <c r="J36" s="11" t="s">
        <v>92</v>
      </c>
      <c r="K36" s="11" t="s">
        <v>693</v>
      </c>
      <c r="L36" s="11" t="s">
        <v>109</v>
      </c>
      <c r="M36" s="14" t="str">
        <f t="shared" si="3"/>
        <v>Não</v>
      </c>
      <c r="N36" s="11" t="s">
        <v>693</v>
      </c>
      <c r="O36" s="11" t="s">
        <v>2131</v>
      </c>
      <c r="P36" s="11" t="s">
        <v>2132</v>
      </c>
      <c r="Q36" s="11" t="s">
        <v>105</v>
      </c>
      <c r="R36" s="11" t="s">
        <v>106</v>
      </c>
      <c r="S36" s="11" t="s">
        <v>126</v>
      </c>
      <c r="T36" s="14" t="str">
        <f>IF(OR(R36="",S36=""),"",CHOOSE(MATCH(R36,Listas!$X$5:$X$7,0)+MATCH(S36,Listas!$Z$5:$Z$7,0)-1,"Alta","Alta","Média","Baixa","Baixa"))</f>
        <v>Baixa</v>
      </c>
      <c r="U36" s="11" t="s">
        <v>2143</v>
      </c>
      <c r="V36" s="19" t="s">
        <v>129</v>
      </c>
      <c r="W36" s="7"/>
      <c r="X36" s="14" t="str">
        <f t="array" ref="X36">IFERROR(INDEX(Listas!$D$5:$D$17,MATCH(F36,Listas!$C$5:$C$17,0)),"")</f>
        <v>dsit-2023</v>
      </c>
      <c r="Y36" s="14" t="str">
        <f t="shared" si="2"/>
        <v>1.2</v>
      </c>
      <c r="Z36" s="10"/>
    </row>
    <row r="37">
      <c r="A37" s="14">
        <v>36.0</v>
      </c>
      <c r="B37" s="11" t="s">
        <v>92</v>
      </c>
      <c r="C37" s="7" t="s">
        <v>1315</v>
      </c>
      <c r="D37" s="7" t="s">
        <v>1316</v>
      </c>
      <c r="E37" s="11" t="s">
        <v>2169</v>
      </c>
      <c r="F37" s="7" t="s">
        <v>210</v>
      </c>
      <c r="G37" s="7" t="s">
        <v>85</v>
      </c>
      <c r="H37" s="11" t="s">
        <v>2171</v>
      </c>
      <c r="I37" s="11" t="s">
        <v>2172</v>
      </c>
      <c r="J37" s="11" t="s">
        <v>92</v>
      </c>
      <c r="K37" s="11" t="s">
        <v>2173</v>
      </c>
      <c r="L37" s="11" t="s">
        <v>109</v>
      </c>
      <c r="M37" s="14" t="str">
        <f t="shared" si="3"/>
        <v>Não</v>
      </c>
      <c r="N37" s="11" t="s">
        <v>2173</v>
      </c>
      <c r="O37" s="11" t="s">
        <v>2178</v>
      </c>
      <c r="P37" s="11" t="s">
        <v>2179</v>
      </c>
      <c r="Q37" s="11" t="s">
        <v>105</v>
      </c>
      <c r="R37" s="11" t="s">
        <v>106</v>
      </c>
      <c r="S37" s="11" t="s">
        <v>126</v>
      </c>
      <c r="T37" s="14" t="str">
        <f>IF(OR(R37="",S37=""),"",CHOOSE(MATCH(R37,Listas!$X$5:$X$7,0)+MATCH(S37,Listas!$Z$5:$Z$7,0)-1,"Alta","Alta","Média","Baixa","Baixa"))</f>
        <v>Baixa</v>
      </c>
      <c r="U37" s="11" t="s">
        <v>2184</v>
      </c>
      <c r="V37" s="19" t="s">
        <v>129</v>
      </c>
      <c r="W37" s="7"/>
      <c r="X37" s="14" t="str">
        <f t="array" ref="X37">IFERROR(INDEX(Listas!$D$5:$D$17,MATCH(F37,Listas!$C$5:$C$17,0)),"")</f>
        <v>dsit-2023</v>
      </c>
      <c r="Y37" s="14" t="str">
        <f t="shared" si="2"/>
        <v>1.2</v>
      </c>
      <c r="Z37" s="10"/>
    </row>
    <row r="38">
      <c r="A38" s="14">
        <v>37.0</v>
      </c>
      <c r="B38" s="11" t="s">
        <v>92</v>
      </c>
      <c r="C38" s="7" t="s">
        <v>1319</v>
      </c>
      <c r="D38" s="7" t="s">
        <v>1320</v>
      </c>
      <c r="E38" s="11" t="s">
        <v>2201</v>
      </c>
      <c r="F38" s="7" t="s">
        <v>210</v>
      </c>
      <c r="G38" s="7" t="s">
        <v>85</v>
      </c>
      <c r="H38" s="11" t="s">
        <v>2202</v>
      </c>
      <c r="I38" s="11" t="s">
        <v>2203</v>
      </c>
      <c r="J38" s="11" t="s">
        <v>92</v>
      </c>
      <c r="K38" s="11" t="s">
        <v>2204</v>
      </c>
      <c r="L38" s="11" t="s">
        <v>109</v>
      </c>
      <c r="M38" s="14" t="str">
        <f t="shared" si="3"/>
        <v>Não</v>
      </c>
      <c r="N38" s="11" t="s">
        <v>630</v>
      </c>
      <c r="O38" s="11" t="s">
        <v>2208</v>
      </c>
      <c r="P38" s="11" t="s">
        <v>2209</v>
      </c>
      <c r="Q38" s="11" t="s">
        <v>105</v>
      </c>
      <c r="R38" s="11" t="s">
        <v>106</v>
      </c>
      <c r="S38" s="11" t="s">
        <v>126</v>
      </c>
      <c r="T38" s="14" t="str">
        <f>IF(OR(R38="",S38=""),"",CHOOSE(MATCH(R38,Listas!$X$5:$X$7,0)+MATCH(S38,Listas!$Z$5:$Z$7,0)-1,"Alta","Alta","Média","Baixa","Baixa"))</f>
        <v>Baixa</v>
      </c>
      <c r="U38" s="11" t="s">
        <v>2215</v>
      </c>
      <c r="V38" s="19" t="s">
        <v>129</v>
      </c>
      <c r="W38" s="7"/>
      <c r="X38" s="14" t="str">
        <f t="array" ref="X38">IFERROR(INDEX(Listas!$D$5:$D$17,MATCH(F38,Listas!$C$5:$C$17,0)),"")</f>
        <v>dsit-2023</v>
      </c>
      <c r="Y38" s="14" t="str">
        <f t="shared" si="2"/>
        <v>1.2</v>
      </c>
      <c r="Z38" s="10"/>
    </row>
    <row r="39">
      <c r="A39" s="14">
        <v>38.0</v>
      </c>
      <c r="B39" s="11" t="s">
        <v>92</v>
      </c>
      <c r="C39" s="7" t="s">
        <v>1325</v>
      </c>
      <c r="D39" s="7" t="s">
        <v>1326</v>
      </c>
      <c r="E39" s="11" t="s">
        <v>2237</v>
      </c>
      <c r="F39" s="7" t="s">
        <v>210</v>
      </c>
      <c r="G39" s="7" t="s">
        <v>85</v>
      </c>
      <c r="H39" s="11" t="s">
        <v>2238</v>
      </c>
      <c r="I39" s="11" t="s">
        <v>2239</v>
      </c>
      <c r="J39" s="11" t="s">
        <v>92</v>
      </c>
      <c r="K39" s="11" t="s">
        <v>2242</v>
      </c>
      <c r="L39" s="11" t="s">
        <v>109</v>
      </c>
      <c r="M39" s="14" t="str">
        <f t="shared" si="3"/>
        <v>Não</v>
      </c>
      <c r="N39" s="11" t="s">
        <v>2242</v>
      </c>
      <c r="O39" s="11" t="s">
        <v>2244</v>
      </c>
      <c r="P39" s="11" t="s">
        <v>2245</v>
      </c>
      <c r="Q39" s="11" t="s">
        <v>105</v>
      </c>
      <c r="R39" s="11" t="s">
        <v>106</v>
      </c>
      <c r="S39" s="11" t="s">
        <v>126</v>
      </c>
      <c r="T39" s="14" t="str">
        <f>IF(OR(R39="",S39=""),"",CHOOSE(MATCH(R39,Listas!$X$5:$X$7,0)+MATCH(S39,Listas!$Z$5:$Z$7,0)-1,"Alta","Alta","Média","Baixa","Baixa"))</f>
        <v>Baixa</v>
      </c>
      <c r="U39" s="11" t="s">
        <v>2256</v>
      </c>
      <c r="V39" s="19" t="s">
        <v>129</v>
      </c>
      <c r="W39" s="7"/>
      <c r="X39" s="14" t="str">
        <f t="array" ref="X39">IFERROR(INDEX(Listas!$D$5:$D$17,MATCH(F39,Listas!$C$5:$C$17,0)),"")</f>
        <v>dsit-2023</v>
      </c>
      <c r="Y39" s="14" t="str">
        <f t="shared" si="2"/>
        <v>1.2</v>
      </c>
      <c r="Z39" s="10"/>
    </row>
    <row r="40">
      <c r="A40" s="14">
        <v>39.0</v>
      </c>
      <c r="B40" s="11" t="s">
        <v>92</v>
      </c>
      <c r="C40" s="7" t="s">
        <v>1340</v>
      </c>
      <c r="D40" s="7" t="s">
        <v>1341</v>
      </c>
      <c r="E40" s="11" t="s">
        <v>2288</v>
      </c>
      <c r="F40" s="7" t="s">
        <v>210</v>
      </c>
      <c r="G40" s="7" t="s">
        <v>286</v>
      </c>
      <c r="H40" s="11" t="s">
        <v>2290</v>
      </c>
      <c r="I40" s="11" t="s">
        <v>2291</v>
      </c>
      <c r="J40" s="11" t="s">
        <v>92</v>
      </c>
      <c r="K40" s="11" t="s">
        <v>1525</v>
      </c>
      <c r="L40" s="11" t="s">
        <v>109</v>
      </c>
      <c r="M40" s="14" t="str">
        <f t="shared" si="3"/>
        <v>Não</v>
      </c>
      <c r="N40" s="11" t="s">
        <v>2295</v>
      </c>
      <c r="O40" s="11" t="s">
        <v>2297</v>
      </c>
      <c r="P40" s="11" t="s">
        <v>2298</v>
      </c>
      <c r="Q40" s="11" t="s">
        <v>105</v>
      </c>
      <c r="R40" s="11" t="s">
        <v>106</v>
      </c>
      <c r="S40" s="11" t="s">
        <v>126</v>
      </c>
      <c r="T40" s="14" t="str">
        <f>IF(OR(R40="",S40=""),"",CHOOSE(MATCH(R40,Listas!$X$5:$X$7,0)+MATCH(S40,Listas!$Z$5:$Z$7,0)-1,"Alta","Alta","Média","Baixa","Baixa"))</f>
        <v>Baixa</v>
      </c>
      <c r="U40" s="11" t="s">
        <v>2310</v>
      </c>
      <c r="V40" s="19" t="s">
        <v>129</v>
      </c>
      <c r="W40" s="7"/>
      <c r="X40" s="14" t="str">
        <f t="array" ref="X40">IFERROR(INDEX(Listas!$D$5:$D$17,MATCH(F40,Listas!$C$5:$C$17,0)),"")</f>
        <v>dsit-2023</v>
      </c>
      <c r="Y40" s="14" t="str">
        <f t="shared" si="2"/>
        <v>4.2</v>
      </c>
      <c r="Z40" s="10"/>
    </row>
    <row r="41">
      <c r="A41" s="14">
        <v>40.0</v>
      </c>
      <c r="B41" s="11" t="s">
        <v>92</v>
      </c>
      <c r="C41" s="7" t="s">
        <v>1353</v>
      </c>
      <c r="D41" s="7" t="s">
        <v>1354</v>
      </c>
      <c r="E41" s="11" t="s">
        <v>2334</v>
      </c>
      <c r="F41" s="7" t="s">
        <v>210</v>
      </c>
      <c r="G41" s="7" t="s">
        <v>85</v>
      </c>
      <c r="H41" s="11" t="s">
        <v>2335</v>
      </c>
      <c r="I41" s="11" t="s">
        <v>1950</v>
      </c>
      <c r="J41" s="11" t="s">
        <v>92</v>
      </c>
      <c r="K41" s="11" t="s">
        <v>2339</v>
      </c>
      <c r="L41" s="11" t="s">
        <v>109</v>
      </c>
      <c r="M41" s="14" t="str">
        <f t="shared" si="3"/>
        <v>Não</v>
      </c>
      <c r="N41" s="11" t="s">
        <v>2340</v>
      </c>
      <c r="O41" s="11" t="s">
        <v>2341</v>
      </c>
      <c r="P41" s="11" t="s">
        <v>2342</v>
      </c>
      <c r="Q41" s="11" t="s">
        <v>105</v>
      </c>
      <c r="R41" s="11" t="s">
        <v>106</v>
      </c>
      <c r="S41" s="11" t="s">
        <v>126</v>
      </c>
      <c r="T41" s="14" t="str">
        <f>IF(OR(R41="",S41=""),"",CHOOSE(MATCH(R41,Listas!$X$5:$X$7,0)+MATCH(S41,Listas!$Z$5:$Z$7,0)-1,"Alta","Alta","Média","Baixa","Baixa"))</f>
        <v>Baixa</v>
      </c>
      <c r="U41" s="11" t="s">
        <v>2349</v>
      </c>
      <c r="V41" s="19" t="s">
        <v>129</v>
      </c>
      <c r="W41" s="7"/>
      <c r="X41" s="14" t="str">
        <f t="array" ref="X41">IFERROR(INDEX(Listas!$D$5:$D$17,MATCH(F41,Listas!$C$5:$C$17,0)),"")</f>
        <v>dsit-2023</v>
      </c>
      <c r="Y41" s="14" t="str">
        <f t="shared" si="2"/>
        <v>1.2</v>
      </c>
      <c r="Z41" s="10"/>
    </row>
    <row r="42" ht="15.0" customHeight="1">
      <c r="A42" s="14">
        <v>41.0</v>
      </c>
      <c r="B42" s="7"/>
      <c r="C42" s="7"/>
      <c r="D42" s="7"/>
      <c r="E42" s="7"/>
      <c r="F42" s="7"/>
      <c r="G42" s="7"/>
      <c r="H42" s="7"/>
      <c r="I42" s="7"/>
      <c r="J42" s="7"/>
      <c r="K42" s="7"/>
      <c r="L42" s="7"/>
      <c r="M42" s="14" t="str">
        <f t="shared" si="3"/>
        <v/>
      </c>
      <c r="N42" s="7"/>
      <c r="O42" s="7"/>
      <c r="P42" s="7"/>
      <c r="Q42" s="7"/>
      <c r="R42" s="7"/>
      <c r="S42" s="7"/>
      <c r="T42" s="14" t="str">
        <f>IF(OR(R42="",S42=""),"",CHOOSE(MATCH(R42,Listas!$X$5:$X$7,0)+MATCH(S42,Listas!$Z$5:$Z$7,0)-1,"Alta","Alta","Média","Baixa","Baixa"))</f>
        <v/>
      </c>
      <c r="U42" s="7"/>
      <c r="V42" s="45"/>
      <c r="W42" s="7"/>
      <c r="X42" s="14" t="str">
        <f t="array" ref="X42">IFERROR(INDEX(Listas!$D$5:$D$17,MATCH(F42,Listas!$C$5:$C$17,0)),"")</f>
        <v/>
      </c>
      <c r="Y42" s="14" t="str">
        <f t="shared" si="2"/>
        <v/>
      </c>
      <c r="Z42" s="10"/>
    </row>
    <row r="43" ht="15.0" customHeight="1">
      <c r="A43" s="14">
        <v>42.0</v>
      </c>
      <c r="B43" s="7"/>
      <c r="C43" s="7"/>
      <c r="D43" s="7"/>
      <c r="E43" s="7"/>
      <c r="F43" s="7"/>
      <c r="G43" s="7"/>
      <c r="H43" s="7"/>
      <c r="I43" s="7"/>
      <c r="J43" s="7"/>
      <c r="K43" s="7"/>
      <c r="L43" s="7"/>
      <c r="M43" s="14" t="str">
        <f t="shared" si="3"/>
        <v/>
      </c>
      <c r="N43" s="7"/>
      <c r="O43" s="7"/>
      <c r="P43" s="7"/>
      <c r="Q43" s="7"/>
      <c r="R43" s="7"/>
      <c r="S43" s="7"/>
      <c r="T43" s="14" t="str">
        <f>IF(OR(R43="",S43=""),"",CHOOSE(MATCH(R43,Listas!$X$5:$X$7,0)+MATCH(S43,Listas!$Z$5:$Z$7,0)-1,"Alta","Alta","Média","Baixa","Baixa"))</f>
        <v/>
      </c>
      <c r="U43" s="7"/>
      <c r="V43" s="45"/>
      <c r="W43" s="7"/>
      <c r="X43" s="14" t="str">
        <f t="array" ref="X43">IFERROR(INDEX(Listas!$D$5:$D$17,MATCH(F43,Listas!$C$5:$C$17,0)),"")</f>
        <v/>
      </c>
      <c r="Y43" s="14" t="str">
        <f t="shared" si="2"/>
        <v/>
      </c>
      <c r="Z43" s="10"/>
    </row>
    <row r="44" ht="15.0" customHeight="1">
      <c r="A44" s="14">
        <v>43.0</v>
      </c>
      <c r="B44" s="7"/>
      <c r="C44" s="7"/>
      <c r="D44" s="7"/>
      <c r="E44" s="7"/>
      <c r="F44" s="7"/>
      <c r="G44" s="7"/>
      <c r="H44" s="7"/>
      <c r="I44" s="7"/>
      <c r="J44" s="7"/>
      <c r="K44" s="7"/>
      <c r="L44" s="7"/>
      <c r="M44" s="14" t="str">
        <f t="shared" si="3"/>
        <v/>
      </c>
      <c r="N44" s="7"/>
      <c r="O44" s="7"/>
      <c r="P44" s="7"/>
      <c r="Q44" s="7"/>
      <c r="R44" s="7"/>
      <c r="S44" s="7"/>
      <c r="T44" s="14" t="str">
        <f>IF(OR(R44="",S44=""),"",CHOOSE(MATCH(R44,Listas!$X$5:$X$7,0)+MATCH(S44,Listas!$Z$5:$Z$7,0)-1,"Alta","Alta","Média","Baixa","Baixa"))</f>
        <v/>
      </c>
      <c r="U44" s="7"/>
      <c r="V44" s="45"/>
      <c r="W44" s="7"/>
      <c r="X44" s="14" t="str">
        <f t="array" ref="X44">IFERROR(INDEX(Listas!$D$5:$D$17,MATCH(F44,Listas!$C$5:$C$17,0)),"")</f>
        <v/>
      </c>
      <c r="Y44" s="14" t="str">
        <f t="shared" si="2"/>
        <v/>
      </c>
      <c r="Z44" s="10"/>
    </row>
    <row r="45" ht="15.0" customHeight="1">
      <c r="A45" s="14">
        <v>44.0</v>
      </c>
      <c r="B45" s="7"/>
      <c r="C45" s="7"/>
      <c r="D45" s="7"/>
      <c r="E45" s="7"/>
      <c r="F45" s="7"/>
      <c r="G45" s="7"/>
      <c r="H45" s="7"/>
      <c r="I45" s="7"/>
      <c r="J45" s="7"/>
      <c r="K45" s="7"/>
      <c r="L45" s="7"/>
      <c r="M45" s="14" t="str">
        <f t="shared" si="3"/>
        <v/>
      </c>
      <c r="N45" s="7"/>
      <c r="O45" s="7"/>
      <c r="P45" s="7"/>
      <c r="Q45" s="7"/>
      <c r="R45" s="7"/>
      <c r="S45" s="7"/>
      <c r="T45" s="14" t="str">
        <f>IF(OR(R45="",S45=""),"",CHOOSE(MATCH(R45,Listas!$X$5:$X$7,0)+MATCH(S45,Listas!$Z$5:$Z$7,0)-1,"Alta","Alta","Média","Baixa","Baixa"))</f>
        <v/>
      </c>
      <c r="U45" s="7"/>
      <c r="V45" s="45"/>
      <c r="W45" s="7"/>
      <c r="X45" s="14" t="str">
        <f t="array" ref="X45">IFERROR(INDEX(Listas!$D$5:$D$17,MATCH(F45,Listas!$C$5:$C$17,0)),"")</f>
        <v/>
      </c>
      <c r="Y45" s="14" t="str">
        <f t="shared" si="2"/>
        <v/>
      </c>
      <c r="Z45" s="10"/>
    </row>
    <row r="46" ht="15.0" customHeight="1">
      <c r="A46" s="14">
        <v>45.0</v>
      </c>
      <c r="B46" s="7"/>
      <c r="C46" s="7"/>
      <c r="D46" s="7"/>
      <c r="E46" s="7"/>
      <c r="F46" s="7"/>
      <c r="G46" s="7"/>
      <c r="H46" s="7"/>
      <c r="I46" s="7"/>
      <c r="J46" s="7"/>
      <c r="K46" s="7"/>
      <c r="L46" s="7"/>
      <c r="M46" s="14" t="str">
        <f t="shared" si="3"/>
        <v/>
      </c>
      <c r="N46" s="7"/>
      <c r="O46" s="7"/>
      <c r="P46" s="7"/>
      <c r="Q46" s="7"/>
      <c r="R46" s="7"/>
      <c r="S46" s="7"/>
      <c r="T46" s="14" t="str">
        <f>IF(OR(R46="",S46=""),"",CHOOSE(MATCH(R46,Listas!$X$5:$X$7,0)+MATCH(S46,Listas!$Z$5:$Z$7,0)-1,"Alta","Alta","Média","Baixa","Baixa"))</f>
        <v/>
      </c>
      <c r="U46" s="7"/>
      <c r="V46" s="45"/>
      <c r="W46" s="7"/>
      <c r="X46" s="14" t="str">
        <f t="array" ref="X46">IFERROR(INDEX(Listas!$D$5:$D$17,MATCH(F46,Listas!$C$5:$C$17,0)),"")</f>
        <v/>
      </c>
      <c r="Y46" s="14" t="str">
        <f t="shared" si="2"/>
        <v/>
      </c>
      <c r="Z46" s="10"/>
    </row>
    <row r="47" ht="15.0" customHeight="1">
      <c r="A47" s="14">
        <v>46.0</v>
      </c>
      <c r="B47" s="7"/>
      <c r="C47" s="7"/>
      <c r="D47" s="7"/>
      <c r="E47" s="7"/>
      <c r="F47" s="7"/>
      <c r="G47" s="7"/>
      <c r="H47" s="7"/>
      <c r="I47" s="7"/>
      <c r="J47" s="7"/>
      <c r="K47" s="7"/>
      <c r="L47" s="7"/>
      <c r="M47" s="14" t="str">
        <f t="shared" si="3"/>
        <v/>
      </c>
      <c r="N47" s="7"/>
      <c r="O47" s="7"/>
      <c r="P47" s="7"/>
      <c r="Q47" s="7"/>
      <c r="R47" s="7"/>
      <c r="S47" s="7"/>
      <c r="T47" s="14" t="str">
        <f>IF(OR(R47="",S47=""),"",CHOOSE(MATCH(R47,Listas!$X$5:$X$7,0)+MATCH(S47,Listas!$Z$5:$Z$7,0)-1,"Alta","Alta","Média","Baixa","Baixa"))</f>
        <v/>
      </c>
      <c r="U47" s="7"/>
      <c r="V47" s="45"/>
      <c r="W47" s="7"/>
      <c r="X47" s="14" t="str">
        <f t="array" ref="X47">IFERROR(INDEX(Listas!$D$5:$D$17,MATCH(F47,Listas!$C$5:$C$17,0)),"")</f>
        <v/>
      </c>
      <c r="Y47" s="14" t="str">
        <f t="shared" si="2"/>
        <v/>
      </c>
      <c r="Z47" s="10"/>
    </row>
    <row r="48" ht="15.0" customHeight="1">
      <c r="A48" s="14">
        <v>47.0</v>
      </c>
      <c r="B48" s="7"/>
      <c r="C48" s="7"/>
      <c r="D48" s="7"/>
      <c r="E48" s="7"/>
      <c r="F48" s="7"/>
      <c r="G48" s="7"/>
      <c r="H48" s="7"/>
      <c r="I48" s="7"/>
      <c r="J48" s="7"/>
      <c r="K48" s="7"/>
      <c r="L48" s="7"/>
      <c r="M48" s="14" t="str">
        <f t="shared" si="3"/>
        <v/>
      </c>
      <c r="N48" s="7"/>
      <c r="O48" s="7"/>
      <c r="P48" s="7"/>
      <c r="Q48" s="7"/>
      <c r="R48" s="7"/>
      <c r="S48" s="7"/>
      <c r="T48" s="14" t="str">
        <f>IF(OR(R48="",S48=""),"",CHOOSE(MATCH(R48,Listas!$X$5:$X$7,0)+MATCH(S48,Listas!$Z$5:$Z$7,0)-1,"Alta","Alta","Média","Baixa","Baixa"))</f>
        <v/>
      </c>
      <c r="U48" s="7"/>
      <c r="V48" s="45"/>
      <c r="W48" s="7"/>
      <c r="X48" s="14" t="str">
        <f t="array" ref="X48">IFERROR(INDEX(Listas!$D$5:$D$17,MATCH(F48,Listas!$C$5:$C$17,0)),"")</f>
        <v/>
      </c>
      <c r="Y48" s="14" t="str">
        <f t="shared" si="2"/>
        <v/>
      </c>
      <c r="Z48" s="10"/>
    </row>
    <row r="49" ht="15.0" customHeight="1">
      <c r="A49" s="14">
        <v>48.0</v>
      </c>
      <c r="B49" s="7"/>
      <c r="C49" s="7"/>
      <c r="D49" s="7"/>
      <c r="E49" s="7"/>
      <c r="F49" s="7"/>
      <c r="G49" s="7"/>
      <c r="H49" s="7"/>
      <c r="I49" s="7"/>
      <c r="J49" s="7"/>
      <c r="K49" s="7"/>
      <c r="L49" s="7"/>
      <c r="M49" s="14" t="str">
        <f t="shared" si="3"/>
        <v/>
      </c>
      <c r="N49" s="7"/>
      <c r="O49" s="7"/>
      <c r="P49" s="7"/>
      <c r="Q49" s="7"/>
      <c r="R49" s="7"/>
      <c r="S49" s="7"/>
      <c r="T49" s="14" t="str">
        <f>IF(OR(R49="",S49=""),"",CHOOSE(MATCH(R49,Listas!$X$5:$X$7,0)+MATCH(S49,Listas!$Z$5:$Z$7,0)-1,"Alta","Alta","Média","Baixa","Baixa"))</f>
        <v/>
      </c>
      <c r="U49" s="7"/>
      <c r="V49" s="45"/>
      <c r="W49" s="7"/>
      <c r="X49" s="14" t="str">
        <f t="array" ref="X49">IFERROR(INDEX(Listas!$D$5:$D$17,MATCH(F49,Listas!$C$5:$C$17,0)),"")</f>
        <v/>
      </c>
      <c r="Y49" s="14" t="str">
        <f t="shared" si="2"/>
        <v/>
      </c>
      <c r="Z49" s="10"/>
    </row>
    <row r="50" ht="15.0" customHeight="1">
      <c r="A50" s="14">
        <v>49.0</v>
      </c>
      <c r="B50" s="7"/>
      <c r="C50" s="7"/>
      <c r="D50" s="7"/>
      <c r="E50" s="7"/>
      <c r="F50" s="7"/>
      <c r="G50" s="7"/>
      <c r="H50" s="7"/>
      <c r="I50" s="7"/>
      <c r="J50" s="7"/>
      <c r="K50" s="7"/>
      <c r="L50" s="7"/>
      <c r="M50" s="14" t="str">
        <f t="shared" si="3"/>
        <v/>
      </c>
      <c r="N50" s="7"/>
      <c r="O50" s="7"/>
      <c r="P50" s="7"/>
      <c r="Q50" s="7"/>
      <c r="R50" s="7"/>
      <c r="S50" s="7"/>
      <c r="T50" s="14" t="str">
        <f>IF(OR(R50="",S50=""),"",CHOOSE(MATCH(R50,Listas!$X$5:$X$7,0)+MATCH(S50,Listas!$Z$5:$Z$7,0)-1,"Alta","Alta","Média","Baixa","Baixa"))</f>
        <v/>
      </c>
      <c r="U50" s="7"/>
      <c r="V50" s="45"/>
      <c r="W50" s="7"/>
      <c r="X50" s="14" t="str">
        <f t="array" ref="X50">IFERROR(INDEX(Listas!$D$5:$D$17,MATCH(F50,Listas!$C$5:$C$17,0)),"")</f>
        <v/>
      </c>
      <c r="Y50" s="14" t="str">
        <f t="shared" si="2"/>
        <v/>
      </c>
      <c r="Z50" s="10"/>
    </row>
    <row r="51" ht="15.0" customHeight="1">
      <c r="A51" s="14">
        <v>50.0</v>
      </c>
      <c r="B51" s="7"/>
      <c r="C51" s="7"/>
      <c r="D51" s="7"/>
      <c r="E51" s="7"/>
      <c r="F51" s="7"/>
      <c r="G51" s="7"/>
      <c r="H51" s="7"/>
      <c r="I51" s="7"/>
      <c r="J51" s="7"/>
      <c r="K51" s="7"/>
      <c r="L51" s="7"/>
      <c r="M51" s="14" t="str">
        <f t="shared" si="3"/>
        <v/>
      </c>
      <c r="N51" s="7"/>
      <c r="O51" s="7"/>
      <c r="P51" s="7"/>
      <c r="Q51" s="7"/>
      <c r="R51" s="7"/>
      <c r="S51" s="7"/>
      <c r="T51" s="14" t="str">
        <f>IF(OR(R51="",S51=""),"",CHOOSE(MATCH(R51,Listas!$X$5:$X$7,0)+MATCH(S51,Listas!$Z$5:$Z$7,0)-1,"Alta","Alta","Média","Baixa","Baixa"))</f>
        <v/>
      </c>
      <c r="U51" s="7"/>
      <c r="V51" s="45"/>
      <c r="W51" s="7"/>
      <c r="X51" s="14" t="str">
        <f t="array" ref="X51">IFERROR(INDEX(Listas!$D$5:$D$17,MATCH(F51,Listas!$C$5:$C$17,0)),"")</f>
        <v/>
      </c>
      <c r="Y51" s="14" t="str">
        <f t="shared" si="2"/>
        <v/>
      </c>
      <c r="Z51" s="10"/>
    </row>
    <row r="52" ht="15.0" customHeight="1">
      <c r="A52" s="14">
        <v>51.0</v>
      </c>
      <c r="B52" s="7"/>
      <c r="C52" s="7"/>
      <c r="D52" s="7"/>
      <c r="E52" s="7"/>
      <c r="F52" s="7"/>
      <c r="G52" s="7"/>
      <c r="H52" s="7"/>
      <c r="I52" s="7"/>
      <c r="J52" s="7"/>
      <c r="K52" s="7"/>
      <c r="L52" s="7"/>
      <c r="M52" s="14" t="str">
        <f t="shared" si="3"/>
        <v/>
      </c>
      <c r="N52" s="7"/>
      <c r="O52" s="7"/>
      <c r="P52" s="7"/>
      <c r="Q52" s="7"/>
      <c r="R52" s="7"/>
      <c r="S52" s="7"/>
      <c r="T52" s="14" t="str">
        <f>IF(OR(R52="",S52=""),"",CHOOSE(MATCH(R52,Listas!$X$5:$X$7,0)+MATCH(S52,Listas!$Z$5:$Z$7,0)-1,"Alta","Alta","Média","Baixa","Baixa"))</f>
        <v/>
      </c>
      <c r="U52" s="7"/>
      <c r="V52" s="45"/>
      <c r="W52" s="7"/>
      <c r="X52" s="14" t="str">
        <f t="array" ref="X52">IFERROR(INDEX(Listas!$D$5:$D$17,MATCH(F52,Listas!$C$5:$C$17,0)),"")</f>
        <v/>
      </c>
      <c r="Y52" s="14" t="str">
        <f t="shared" si="2"/>
        <v/>
      </c>
      <c r="Z52" s="10"/>
    </row>
    <row r="53" ht="15.0" customHeight="1">
      <c r="A53" s="14">
        <v>52.0</v>
      </c>
      <c r="B53" s="7"/>
      <c r="C53" s="7"/>
      <c r="D53" s="7"/>
      <c r="E53" s="7"/>
      <c r="F53" s="7"/>
      <c r="G53" s="7"/>
      <c r="H53" s="7"/>
      <c r="I53" s="7"/>
      <c r="J53" s="7"/>
      <c r="K53" s="7"/>
      <c r="L53" s="7"/>
      <c r="M53" s="14" t="str">
        <f t="shared" si="3"/>
        <v/>
      </c>
      <c r="N53" s="7"/>
      <c r="O53" s="7"/>
      <c r="P53" s="7"/>
      <c r="Q53" s="7"/>
      <c r="R53" s="7"/>
      <c r="S53" s="7"/>
      <c r="T53" s="14" t="str">
        <f>IF(OR(R53="",S53=""),"",CHOOSE(MATCH(R53,Listas!$X$5:$X$7,0)+MATCH(S53,Listas!$Z$5:$Z$7,0)-1,"Alta","Alta","Média","Baixa","Baixa"))</f>
        <v/>
      </c>
      <c r="U53" s="7"/>
      <c r="V53" s="45"/>
      <c r="W53" s="7"/>
      <c r="X53" s="14" t="str">
        <f t="array" ref="X53">IFERROR(INDEX(Listas!$D$5:$D$17,MATCH(F53,Listas!$C$5:$C$17,0)),"")</f>
        <v/>
      </c>
      <c r="Y53" s="14" t="str">
        <f t="shared" si="2"/>
        <v/>
      </c>
      <c r="Z53" s="10"/>
    </row>
    <row r="54" ht="15.0" customHeight="1">
      <c r="A54" s="14">
        <v>53.0</v>
      </c>
      <c r="B54" s="7"/>
      <c r="C54" s="7"/>
      <c r="D54" s="7"/>
      <c r="E54" s="7"/>
      <c r="F54" s="7"/>
      <c r="G54" s="7"/>
      <c r="H54" s="7"/>
      <c r="I54" s="7"/>
      <c r="J54" s="7"/>
      <c r="K54" s="7"/>
      <c r="L54" s="7"/>
      <c r="M54" s="14" t="str">
        <f t="shared" si="3"/>
        <v/>
      </c>
      <c r="N54" s="7"/>
      <c r="O54" s="7"/>
      <c r="P54" s="7"/>
      <c r="Q54" s="7"/>
      <c r="R54" s="7"/>
      <c r="S54" s="7"/>
      <c r="T54" s="14" t="str">
        <f>IF(OR(R54="",S54=""),"",CHOOSE(MATCH(R54,Listas!$X$5:$X$7,0)+MATCH(S54,Listas!$Z$5:$Z$7,0)-1,"Alta","Alta","Média","Baixa","Baixa"))</f>
        <v/>
      </c>
      <c r="U54" s="7"/>
      <c r="V54" s="45"/>
      <c r="W54" s="7"/>
      <c r="X54" s="14" t="str">
        <f t="array" ref="X54">IFERROR(INDEX(Listas!$D$5:$D$17,MATCH(F54,Listas!$C$5:$C$17,0)),"")</f>
        <v/>
      </c>
      <c r="Y54" s="14" t="str">
        <f t="shared" si="2"/>
        <v/>
      </c>
      <c r="Z54" s="10"/>
    </row>
    <row r="55" ht="15.0" customHeight="1">
      <c r="A55" s="14">
        <v>54.0</v>
      </c>
      <c r="B55" s="7"/>
      <c r="C55" s="7"/>
      <c r="D55" s="7"/>
      <c r="E55" s="7"/>
      <c r="F55" s="7"/>
      <c r="G55" s="7"/>
      <c r="H55" s="7"/>
      <c r="I55" s="7"/>
      <c r="J55" s="7"/>
      <c r="K55" s="7"/>
      <c r="L55" s="7"/>
      <c r="M55" s="14" t="str">
        <f t="shared" si="3"/>
        <v/>
      </c>
      <c r="N55" s="7"/>
      <c r="O55" s="7"/>
      <c r="P55" s="7"/>
      <c r="Q55" s="7"/>
      <c r="R55" s="7"/>
      <c r="S55" s="7"/>
      <c r="T55" s="14" t="str">
        <f>IF(OR(R55="",S55=""),"",CHOOSE(MATCH(R55,Listas!$X$5:$X$7,0)+MATCH(S55,Listas!$Z$5:$Z$7,0)-1,"Alta","Alta","Média","Baixa","Baixa"))</f>
        <v/>
      </c>
      <c r="U55" s="7"/>
      <c r="V55" s="45"/>
      <c r="W55" s="7"/>
      <c r="X55" s="14" t="str">
        <f t="array" ref="X55">IFERROR(INDEX(Listas!$D$5:$D$17,MATCH(F55,Listas!$C$5:$C$17,0)),"")</f>
        <v/>
      </c>
      <c r="Y55" s="14" t="str">
        <f t="shared" si="2"/>
        <v/>
      </c>
      <c r="Z55" s="10"/>
    </row>
    <row r="56" ht="15.0" customHeight="1">
      <c r="A56" s="14">
        <v>55.0</v>
      </c>
      <c r="B56" s="7"/>
      <c r="C56" s="7"/>
      <c r="D56" s="7"/>
      <c r="E56" s="7"/>
      <c r="F56" s="7"/>
      <c r="G56" s="7"/>
      <c r="H56" s="7"/>
      <c r="I56" s="7"/>
      <c r="J56" s="7"/>
      <c r="K56" s="7"/>
      <c r="L56" s="7"/>
      <c r="M56" s="14" t="str">
        <f t="shared" si="3"/>
        <v/>
      </c>
      <c r="N56" s="7"/>
      <c r="O56" s="7"/>
      <c r="P56" s="7"/>
      <c r="Q56" s="7"/>
      <c r="R56" s="7"/>
      <c r="S56" s="7"/>
      <c r="T56" s="14" t="str">
        <f>IF(OR(R56="",S56=""),"",CHOOSE(MATCH(R56,Listas!$X$5:$X$7,0)+MATCH(S56,Listas!$Z$5:$Z$7,0)-1,"Alta","Alta","Média","Baixa","Baixa"))</f>
        <v/>
      </c>
      <c r="U56" s="7"/>
      <c r="V56" s="45"/>
      <c r="W56" s="7"/>
      <c r="X56" s="14" t="str">
        <f t="array" ref="X56">IFERROR(INDEX(Listas!$D$5:$D$17,MATCH(F56,Listas!$C$5:$C$17,0)),"")</f>
        <v/>
      </c>
      <c r="Y56" s="14" t="str">
        <f t="shared" si="2"/>
        <v/>
      </c>
      <c r="Z56" s="10"/>
    </row>
    <row r="57" ht="15.0" customHeight="1">
      <c r="A57" s="14">
        <v>56.0</v>
      </c>
      <c r="B57" s="7"/>
      <c r="C57" s="7"/>
      <c r="D57" s="7"/>
      <c r="E57" s="7"/>
      <c r="F57" s="7"/>
      <c r="G57" s="7"/>
      <c r="H57" s="7"/>
      <c r="I57" s="7"/>
      <c r="J57" s="7"/>
      <c r="K57" s="7"/>
      <c r="L57" s="7"/>
      <c r="M57" s="14" t="str">
        <f t="shared" si="3"/>
        <v/>
      </c>
      <c r="N57" s="7"/>
      <c r="O57" s="7"/>
      <c r="P57" s="7"/>
      <c r="Q57" s="7"/>
      <c r="R57" s="7"/>
      <c r="S57" s="7"/>
      <c r="T57" s="14" t="str">
        <f>IF(OR(R57="",S57=""),"",CHOOSE(MATCH(R57,Listas!$X$5:$X$7,0)+MATCH(S57,Listas!$Z$5:$Z$7,0)-1,"Alta","Alta","Média","Baixa","Baixa"))</f>
        <v/>
      </c>
      <c r="U57" s="7"/>
      <c r="V57" s="45"/>
      <c r="W57" s="7"/>
      <c r="X57" s="14" t="str">
        <f t="array" ref="X57">IFERROR(INDEX(Listas!$D$5:$D$17,MATCH(F57,Listas!$C$5:$C$17,0)),"")</f>
        <v/>
      </c>
      <c r="Y57" s="14" t="str">
        <f t="shared" si="2"/>
        <v/>
      </c>
      <c r="Z57" s="10"/>
    </row>
    <row r="58" ht="15.0" customHeight="1">
      <c r="A58" s="14">
        <v>57.0</v>
      </c>
      <c r="B58" s="7"/>
      <c r="C58" s="7"/>
      <c r="D58" s="7"/>
      <c r="E58" s="7"/>
      <c r="F58" s="7"/>
      <c r="G58" s="7"/>
      <c r="H58" s="7"/>
      <c r="I58" s="7"/>
      <c r="J58" s="7"/>
      <c r="K58" s="7"/>
      <c r="L58" s="7"/>
      <c r="M58" s="14" t="str">
        <f t="shared" si="3"/>
        <v/>
      </c>
      <c r="N58" s="7"/>
      <c r="O58" s="7"/>
      <c r="P58" s="7"/>
      <c r="Q58" s="7"/>
      <c r="R58" s="7"/>
      <c r="S58" s="7"/>
      <c r="T58" s="14" t="str">
        <f>IF(OR(R58="",S58=""),"",CHOOSE(MATCH(R58,Listas!$X$5:$X$7,0)+MATCH(S58,Listas!$Z$5:$Z$7,0)-1,"Alta","Alta","Média","Baixa","Baixa"))</f>
        <v/>
      </c>
      <c r="U58" s="7"/>
      <c r="V58" s="45"/>
      <c r="W58" s="7"/>
      <c r="X58" s="14" t="str">
        <f t="array" ref="X58">IFERROR(INDEX(Listas!$D$5:$D$17,MATCH(F58,Listas!$C$5:$C$17,0)),"")</f>
        <v/>
      </c>
      <c r="Y58" s="14" t="str">
        <f t="shared" si="2"/>
        <v/>
      </c>
      <c r="Z58" s="10"/>
    </row>
    <row r="59" ht="15.0" customHeight="1">
      <c r="A59" s="14">
        <v>58.0</v>
      </c>
      <c r="B59" s="7"/>
      <c r="C59" s="7"/>
      <c r="D59" s="7"/>
      <c r="E59" s="7"/>
      <c r="F59" s="7"/>
      <c r="G59" s="7"/>
      <c r="H59" s="7"/>
      <c r="I59" s="7"/>
      <c r="J59" s="7"/>
      <c r="K59" s="7"/>
      <c r="L59" s="7"/>
      <c r="M59" s="14" t="str">
        <f t="shared" si="3"/>
        <v/>
      </c>
      <c r="N59" s="7"/>
      <c r="O59" s="7"/>
      <c r="P59" s="7"/>
      <c r="Q59" s="7"/>
      <c r="R59" s="7"/>
      <c r="S59" s="7"/>
      <c r="T59" s="14" t="str">
        <f>IF(OR(R59="",S59=""),"",CHOOSE(MATCH(R59,Listas!$X$5:$X$7,0)+MATCH(S59,Listas!$Z$5:$Z$7,0)-1,"Alta","Alta","Média","Baixa","Baixa"))</f>
        <v/>
      </c>
      <c r="U59" s="7"/>
      <c r="V59" s="45"/>
      <c r="W59" s="7"/>
      <c r="X59" s="14" t="str">
        <f t="array" ref="X59">IFERROR(INDEX(Listas!$D$5:$D$17,MATCH(F59,Listas!$C$5:$C$17,0)),"")</f>
        <v/>
      </c>
      <c r="Y59" s="14" t="str">
        <f t="shared" si="2"/>
        <v/>
      </c>
      <c r="Z59" s="10"/>
    </row>
    <row r="60" ht="15.0" customHeight="1">
      <c r="A60" s="14">
        <v>59.0</v>
      </c>
      <c r="B60" s="7"/>
      <c r="C60" s="7"/>
      <c r="D60" s="7"/>
      <c r="E60" s="7"/>
      <c r="F60" s="7"/>
      <c r="G60" s="7"/>
      <c r="H60" s="7"/>
      <c r="I60" s="7"/>
      <c r="J60" s="7"/>
      <c r="K60" s="7"/>
      <c r="L60" s="7"/>
      <c r="M60" s="14" t="str">
        <f t="shared" si="3"/>
        <v/>
      </c>
      <c r="N60" s="7"/>
      <c r="O60" s="7"/>
      <c r="P60" s="7"/>
      <c r="Q60" s="7"/>
      <c r="R60" s="7"/>
      <c r="S60" s="7"/>
      <c r="T60" s="14" t="str">
        <f>IF(OR(R60="",S60=""),"",CHOOSE(MATCH(R60,Listas!$X$5:$X$7,0)+MATCH(S60,Listas!$Z$5:$Z$7,0)-1,"Alta","Alta","Média","Baixa","Baixa"))</f>
        <v/>
      </c>
      <c r="U60" s="7"/>
      <c r="V60" s="45"/>
      <c r="W60" s="7"/>
      <c r="X60" s="14" t="str">
        <f t="array" ref="X60">IFERROR(INDEX(Listas!$D$5:$D$17,MATCH(F60,Listas!$C$5:$C$17,0)),"")</f>
        <v/>
      </c>
      <c r="Y60" s="14" t="str">
        <f t="shared" si="2"/>
        <v/>
      </c>
      <c r="Z60" s="10"/>
    </row>
    <row r="61" ht="15.0" customHeight="1">
      <c r="A61" s="14">
        <v>60.0</v>
      </c>
      <c r="B61" s="7"/>
      <c r="C61" s="7"/>
      <c r="D61" s="7"/>
      <c r="E61" s="7"/>
      <c r="F61" s="7"/>
      <c r="G61" s="7"/>
      <c r="H61" s="7"/>
      <c r="I61" s="7"/>
      <c r="J61" s="7"/>
      <c r="K61" s="7"/>
      <c r="L61" s="7"/>
      <c r="M61" s="14" t="str">
        <f t="shared" si="3"/>
        <v/>
      </c>
      <c r="N61" s="7"/>
      <c r="O61" s="7"/>
      <c r="P61" s="7"/>
      <c r="Q61" s="7"/>
      <c r="R61" s="7"/>
      <c r="S61" s="7"/>
      <c r="T61" s="14" t="str">
        <f>IF(OR(R61="",S61=""),"",CHOOSE(MATCH(R61,Listas!$X$5:$X$7,0)+MATCH(S61,Listas!$Z$5:$Z$7,0)-1,"Alta","Alta","Média","Baixa","Baixa"))</f>
        <v/>
      </c>
      <c r="U61" s="7"/>
      <c r="V61" s="45"/>
      <c r="W61" s="7"/>
      <c r="X61" s="14" t="str">
        <f t="array" ref="X61">IFERROR(INDEX(Listas!$D$5:$D$17,MATCH(F61,Listas!$C$5:$C$17,0)),"")</f>
        <v/>
      </c>
      <c r="Y61" s="14" t="str">
        <f t="shared" si="2"/>
        <v/>
      </c>
      <c r="Z61" s="10"/>
    </row>
    <row r="62" ht="15.75" customHeight="1">
      <c r="A62" s="10"/>
      <c r="B62" s="10"/>
      <c r="C62" s="10"/>
      <c r="D62" s="10"/>
      <c r="E62" s="10"/>
      <c r="F62" s="10"/>
      <c r="G62" s="10"/>
      <c r="H62" s="10"/>
      <c r="I62" s="10"/>
      <c r="J62" s="10"/>
      <c r="K62" s="10"/>
      <c r="L62" s="10"/>
      <c r="M62" s="10"/>
      <c r="N62" s="10"/>
      <c r="O62" s="10"/>
      <c r="P62" s="10"/>
      <c r="Q62" s="10"/>
      <c r="R62" s="10"/>
      <c r="S62" s="10"/>
      <c r="T62" s="10"/>
      <c r="U62" s="10"/>
      <c r="V62" s="48"/>
      <c r="W62" s="10"/>
      <c r="X62" s="10"/>
      <c r="Y62" s="10"/>
      <c r="Z62" s="10"/>
    </row>
    <row r="63" ht="15.75" customHeight="1">
      <c r="A63" s="10"/>
      <c r="B63" s="10"/>
      <c r="C63" s="10"/>
      <c r="D63" s="10"/>
      <c r="E63" s="10"/>
      <c r="F63" s="10"/>
      <c r="G63" s="10"/>
      <c r="H63" s="10"/>
      <c r="I63" s="10"/>
      <c r="J63" s="10"/>
      <c r="K63" s="10"/>
      <c r="L63" s="10"/>
      <c r="M63" s="10"/>
      <c r="N63" s="10"/>
      <c r="O63" s="10"/>
      <c r="P63" s="10"/>
      <c r="Q63" s="10"/>
      <c r="R63" s="10"/>
      <c r="S63" s="10"/>
      <c r="T63" s="10"/>
      <c r="U63" s="10"/>
      <c r="V63" s="48"/>
      <c r="W63" s="10"/>
      <c r="X63" s="10"/>
      <c r="Y63" s="10"/>
      <c r="Z63" s="10"/>
    </row>
    <row r="64" ht="15.75" customHeight="1">
      <c r="A64" s="10"/>
      <c r="B64" s="10"/>
      <c r="C64" s="10"/>
      <c r="D64" s="10"/>
      <c r="E64" s="10"/>
      <c r="F64" s="10"/>
      <c r="G64" s="10"/>
      <c r="H64" s="10"/>
      <c r="I64" s="10"/>
      <c r="J64" s="10"/>
      <c r="K64" s="10"/>
      <c r="L64" s="10"/>
      <c r="M64" s="10"/>
      <c r="N64" s="10"/>
      <c r="O64" s="10"/>
      <c r="P64" s="10"/>
      <c r="Q64" s="10"/>
      <c r="R64" s="10"/>
      <c r="S64" s="10"/>
      <c r="T64" s="10"/>
      <c r="U64" s="10"/>
      <c r="V64" s="48"/>
      <c r="W64" s="10"/>
      <c r="X64" s="10"/>
      <c r="Y64" s="10"/>
      <c r="Z64" s="10"/>
    </row>
    <row r="65" ht="15.75" customHeight="1">
      <c r="A65" s="10"/>
      <c r="B65" s="10"/>
      <c r="C65" s="10"/>
      <c r="D65" s="10"/>
      <c r="E65" s="10"/>
      <c r="F65" s="10"/>
      <c r="G65" s="10"/>
      <c r="H65" s="10"/>
      <c r="I65" s="10"/>
      <c r="J65" s="10"/>
      <c r="K65" s="10"/>
      <c r="L65" s="10"/>
      <c r="M65" s="10"/>
      <c r="N65" s="10"/>
      <c r="O65" s="10"/>
      <c r="P65" s="10"/>
      <c r="Q65" s="10"/>
      <c r="R65" s="10"/>
      <c r="S65" s="10"/>
      <c r="T65" s="10"/>
      <c r="U65" s="10"/>
      <c r="V65" s="48"/>
      <c r="W65" s="10"/>
      <c r="X65" s="10"/>
      <c r="Y65" s="10"/>
      <c r="Z65" s="10"/>
    </row>
    <row r="66" ht="15.75" customHeight="1">
      <c r="A66" s="10"/>
      <c r="B66" s="10"/>
      <c r="C66" s="10"/>
      <c r="D66" s="10"/>
      <c r="E66" s="10"/>
      <c r="F66" s="10"/>
      <c r="G66" s="10"/>
      <c r="H66" s="10"/>
      <c r="I66" s="10"/>
      <c r="J66" s="10"/>
      <c r="K66" s="10"/>
      <c r="L66" s="10"/>
      <c r="M66" s="10"/>
      <c r="N66" s="10"/>
      <c r="O66" s="10"/>
      <c r="P66" s="10"/>
      <c r="Q66" s="10"/>
      <c r="R66" s="10"/>
      <c r="S66" s="10"/>
      <c r="T66" s="10"/>
      <c r="U66" s="10"/>
      <c r="V66" s="48"/>
      <c r="W66" s="10"/>
      <c r="X66" s="10"/>
      <c r="Y66" s="10"/>
      <c r="Z66" s="10"/>
    </row>
    <row r="67" ht="15.75" customHeight="1">
      <c r="A67" s="10"/>
      <c r="B67" s="10"/>
      <c r="C67" s="10"/>
      <c r="D67" s="10"/>
      <c r="E67" s="10"/>
      <c r="F67" s="10"/>
      <c r="G67" s="10"/>
      <c r="H67" s="10"/>
      <c r="I67" s="10"/>
      <c r="J67" s="10"/>
      <c r="K67" s="10"/>
      <c r="L67" s="10"/>
      <c r="M67" s="10"/>
      <c r="N67" s="10"/>
      <c r="O67" s="10"/>
      <c r="P67" s="10"/>
      <c r="Q67" s="10"/>
      <c r="R67" s="10"/>
      <c r="S67" s="10"/>
      <c r="T67" s="10"/>
      <c r="U67" s="10"/>
      <c r="V67" s="48"/>
      <c r="W67" s="10"/>
      <c r="X67" s="10"/>
      <c r="Y67" s="10"/>
      <c r="Z67" s="10"/>
    </row>
    <row r="68" ht="15.75" customHeight="1">
      <c r="A68" s="10"/>
      <c r="B68" s="10"/>
      <c r="C68" s="10"/>
      <c r="D68" s="10"/>
      <c r="E68" s="10"/>
      <c r="F68" s="10"/>
      <c r="G68" s="10"/>
      <c r="H68" s="10"/>
      <c r="I68" s="10"/>
      <c r="J68" s="10"/>
      <c r="K68" s="10"/>
      <c r="L68" s="10"/>
      <c r="M68" s="10"/>
      <c r="N68" s="10"/>
      <c r="O68" s="10"/>
      <c r="P68" s="10"/>
      <c r="Q68" s="10"/>
      <c r="R68" s="10"/>
      <c r="S68" s="10"/>
      <c r="T68" s="10"/>
      <c r="U68" s="10"/>
      <c r="V68" s="48"/>
      <c r="W68" s="10"/>
      <c r="X68" s="10"/>
      <c r="Y68" s="10"/>
      <c r="Z68" s="10"/>
    </row>
    <row r="69" ht="15.75" customHeight="1">
      <c r="A69" s="10"/>
      <c r="B69" s="10"/>
      <c r="C69" s="10"/>
      <c r="D69" s="10"/>
      <c r="E69" s="10"/>
      <c r="F69" s="10"/>
      <c r="G69" s="10"/>
      <c r="H69" s="10"/>
      <c r="I69" s="10"/>
      <c r="J69" s="10"/>
      <c r="K69" s="10"/>
      <c r="L69" s="10"/>
      <c r="M69" s="10"/>
      <c r="N69" s="10"/>
      <c r="O69" s="10"/>
      <c r="P69" s="10"/>
      <c r="Q69" s="10"/>
      <c r="R69" s="10"/>
      <c r="S69" s="10"/>
      <c r="T69" s="10"/>
      <c r="U69" s="10"/>
      <c r="V69" s="48"/>
      <c r="W69" s="10"/>
      <c r="X69" s="10"/>
      <c r="Y69" s="10"/>
      <c r="Z69" s="10"/>
    </row>
    <row r="70" ht="15.75" customHeight="1">
      <c r="A70" s="10"/>
      <c r="B70" s="10"/>
      <c r="C70" s="10"/>
      <c r="D70" s="10"/>
      <c r="E70" s="10"/>
      <c r="F70" s="10"/>
      <c r="G70" s="10"/>
      <c r="H70" s="10"/>
      <c r="I70" s="10"/>
      <c r="J70" s="10"/>
      <c r="K70" s="10"/>
      <c r="L70" s="10"/>
      <c r="M70" s="10"/>
      <c r="N70" s="10"/>
      <c r="O70" s="10"/>
      <c r="P70" s="10"/>
      <c r="Q70" s="10"/>
      <c r="R70" s="10"/>
      <c r="S70" s="10"/>
      <c r="T70" s="10"/>
      <c r="U70" s="10"/>
      <c r="V70" s="48"/>
      <c r="W70" s="10"/>
      <c r="X70" s="10"/>
      <c r="Y70" s="10"/>
      <c r="Z70" s="10"/>
    </row>
    <row r="71" ht="15.75" customHeight="1">
      <c r="A71" s="10"/>
      <c r="B71" s="10"/>
      <c r="C71" s="10"/>
      <c r="D71" s="10"/>
      <c r="E71" s="10"/>
      <c r="F71" s="10"/>
      <c r="G71" s="10"/>
      <c r="H71" s="10"/>
      <c r="I71" s="10"/>
      <c r="J71" s="10"/>
      <c r="K71" s="10"/>
      <c r="L71" s="10"/>
      <c r="M71" s="10"/>
      <c r="N71" s="10"/>
      <c r="O71" s="10"/>
      <c r="P71" s="10"/>
      <c r="Q71" s="10"/>
      <c r="R71" s="10"/>
      <c r="S71" s="10"/>
      <c r="T71" s="10"/>
      <c r="U71" s="10"/>
      <c r="V71" s="48"/>
      <c r="W71" s="10"/>
      <c r="X71" s="10"/>
      <c r="Y71" s="10"/>
      <c r="Z71" s="10"/>
    </row>
    <row r="72" ht="15.75" customHeight="1">
      <c r="A72" s="10"/>
      <c r="B72" s="10"/>
      <c r="C72" s="10"/>
      <c r="D72" s="10"/>
      <c r="E72" s="10"/>
      <c r="F72" s="10"/>
      <c r="G72" s="10"/>
      <c r="H72" s="10"/>
      <c r="I72" s="10"/>
      <c r="J72" s="10"/>
      <c r="K72" s="10"/>
      <c r="L72" s="10"/>
      <c r="M72" s="10"/>
      <c r="N72" s="10"/>
      <c r="O72" s="10"/>
      <c r="P72" s="10"/>
      <c r="Q72" s="10"/>
      <c r="R72" s="10"/>
      <c r="S72" s="10"/>
      <c r="T72" s="10"/>
      <c r="U72" s="10"/>
      <c r="V72" s="48"/>
      <c r="W72" s="10"/>
      <c r="X72" s="10"/>
      <c r="Y72" s="10"/>
      <c r="Z72" s="10"/>
    </row>
    <row r="73" ht="15.75" customHeight="1">
      <c r="A73" s="10"/>
      <c r="B73" s="10"/>
      <c r="C73" s="10"/>
      <c r="D73" s="10"/>
      <c r="E73" s="10"/>
      <c r="F73" s="10"/>
      <c r="G73" s="10"/>
      <c r="H73" s="10"/>
      <c r="I73" s="10"/>
      <c r="J73" s="10"/>
      <c r="K73" s="10"/>
      <c r="L73" s="10"/>
      <c r="M73" s="10"/>
      <c r="N73" s="10"/>
      <c r="O73" s="10"/>
      <c r="P73" s="10"/>
      <c r="Q73" s="10"/>
      <c r="R73" s="10"/>
      <c r="S73" s="10"/>
      <c r="T73" s="10"/>
      <c r="U73" s="10"/>
      <c r="V73" s="48"/>
      <c r="W73" s="10"/>
      <c r="X73" s="10"/>
      <c r="Y73" s="10"/>
      <c r="Z73" s="10"/>
    </row>
    <row r="74" ht="15.75" customHeight="1">
      <c r="A74" s="10"/>
      <c r="B74" s="10"/>
      <c r="C74" s="10"/>
      <c r="D74" s="10"/>
      <c r="E74" s="10"/>
      <c r="F74" s="10"/>
      <c r="G74" s="10"/>
      <c r="H74" s="10"/>
      <c r="I74" s="10"/>
      <c r="J74" s="10"/>
      <c r="K74" s="10"/>
      <c r="L74" s="10"/>
      <c r="M74" s="10"/>
      <c r="N74" s="10"/>
      <c r="O74" s="10"/>
      <c r="P74" s="10"/>
      <c r="Q74" s="10"/>
      <c r="R74" s="10"/>
      <c r="S74" s="10"/>
      <c r="T74" s="10"/>
      <c r="U74" s="10"/>
      <c r="V74" s="48"/>
      <c r="W74" s="10"/>
      <c r="X74" s="10"/>
      <c r="Y74" s="10"/>
      <c r="Z74" s="10"/>
    </row>
    <row r="75" ht="15.75" customHeight="1">
      <c r="A75" s="10"/>
      <c r="B75" s="10"/>
      <c r="C75" s="10"/>
      <c r="D75" s="10"/>
      <c r="E75" s="10"/>
      <c r="F75" s="10"/>
      <c r="G75" s="10"/>
      <c r="H75" s="10"/>
      <c r="I75" s="10"/>
      <c r="J75" s="10"/>
      <c r="K75" s="10"/>
      <c r="L75" s="10"/>
      <c r="M75" s="10"/>
      <c r="N75" s="10"/>
      <c r="O75" s="10"/>
      <c r="P75" s="10"/>
      <c r="Q75" s="10"/>
      <c r="R75" s="10"/>
      <c r="S75" s="10"/>
      <c r="T75" s="10"/>
      <c r="U75" s="10"/>
      <c r="V75" s="48"/>
      <c r="W75" s="10"/>
      <c r="X75" s="10"/>
      <c r="Y75" s="10"/>
      <c r="Z75" s="10"/>
    </row>
    <row r="76" ht="15.75" customHeight="1">
      <c r="A76" s="10"/>
      <c r="B76" s="10"/>
      <c r="C76" s="10"/>
      <c r="D76" s="10"/>
      <c r="E76" s="10"/>
      <c r="F76" s="10"/>
      <c r="G76" s="10"/>
      <c r="H76" s="10"/>
      <c r="I76" s="10"/>
      <c r="J76" s="10"/>
      <c r="K76" s="10"/>
      <c r="L76" s="10"/>
      <c r="M76" s="10"/>
      <c r="N76" s="10"/>
      <c r="O76" s="10"/>
      <c r="P76" s="10"/>
      <c r="Q76" s="10"/>
      <c r="R76" s="10"/>
      <c r="S76" s="10"/>
      <c r="T76" s="10"/>
      <c r="U76" s="10"/>
      <c r="V76" s="48"/>
      <c r="W76" s="10"/>
      <c r="X76" s="10"/>
      <c r="Y76" s="10"/>
      <c r="Z76" s="10"/>
    </row>
    <row r="77" ht="15.75" customHeight="1">
      <c r="A77" s="10"/>
      <c r="B77" s="10"/>
      <c r="C77" s="10"/>
      <c r="D77" s="10"/>
      <c r="E77" s="10"/>
      <c r="F77" s="10"/>
      <c r="G77" s="10"/>
      <c r="H77" s="10"/>
      <c r="I77" s="10"/>
      <c r="J77" s="10"/>
      <c r="K77" s="10"/>
      <c r="L77" s="10"/>
      <c r="M77" s="10"/>
      <c r="N77" s="10"/>
      <c r="O77" s="10"/>
      <c r="P77" s="10"/>
      <c r="Q77" s="10"/>
      <c r="R77" s="10"/>
      <c r="S77" s="10"/>
      <c r="T77" s="10"/>
      <c r="U77" s="10"/>
      <c r="V77" s="48"/>
      <c r="W77" s="10"/>
      <c r="X77" s="10"/>
      <c r="Y77" s="10"/>
      <c r="Z77" s="10"/>
    </row>
    <row r="78" ht="15.75" customHeight="1">
      <c r="A78" s="10"/>
      <c r="B78" s="10"/>
      <c r="C78" s="10"/>
      <c r="D78" s="10"/>
      <c r="E78" s="10"/>
      <c r="F78" s="10"/>
      <c r="G78" s="10"/>
      <c r="H78" s="10"/>
      <c r="I78" s="10"/>
      <c r="J78" s="10"/>
      <c r="K78" s="10"/>
      <c r="L78" s="10"/>
      <c r="M78" s="10"/>
      <c r="N78" s="10"/>
      <c r="O78" s="10"/>
      <c r="P78" s="10"/>
      <c r="Q78" s="10"/>
      <c r="R78" s="10"/>
      <c r="S78" s="10"/>
      <c r="T78" s="10"/>
      <c r="U78" s="10"/>
      <c r="V78" s="48"/>
      <c r="W78" s="10"/>
      <c r="X78" s="10"/>
      <c r="Y78" s="10"/>
      <c r="Z78" s="10"/>
    </row>
    <row r="79" ht="15.75" customHeight="1">
      <c r="A79" s="10"/>
      <c r="B79" s="10"/>
      <c r="C79" s="10"/>
      <c r="D79" s="10"/>
      <c r="E79" s="10"/>
      <c r="F79" s="10"/>
      <c r="G79" s="10"/>
      <c r="H79" s="10"/>
      <c r="I79" s="10"/>
      <c r="J79" s="10"/>
      <c r="K79" s="10"/>
      <c r="L79" s="10"/>
      <c r="M79" s="10"/>
      <c r="N79" s="10"/>
      <c r="O79" s="10"/>
      <c r="P79" s="10"/>
      <c r="Q79" s="10"/>
      <c r="R79" s="10"/>
      <c r="S79" s="10"/>
      <c r="T79" s="10"/>
      <c r="U79" s="10"/>
      <c r="V79" s="48"/>
      <c r="W79" s="10"/>
      <c r="X79" s="10"/>
      <c r="Y79" s="10"/>
      <c r="Z79" s="10"/>
    </row>
    <row r="80" ht="15.75" customHeight="1">
      <c r="A80" s="10"/>
      <c r="B80" s="10"/>
      <c r="C80" s="10"/>
      <c r="D80" s="10"/>
      <c r="E80" s="10"/>
      <c r="F80" s="10"/>
      <c r="G80" s="10"/>
      <c r="H80" s="10"/>
      <c r="I80" s="10"/>
      <c r="J80" s="10"/>
      <c r="K80" s="10"/>
      <c r="L80" s="10"/>
      <c r="M80" s="10"/>
      <c r="N80" s="10"/>
      <c r="O80" s="10"/>
      <c r="P80" s="10"/>
      <c r="Q80" s="10"/>
      <c r="R80" s="10"/>
      <c r="S80" s="10"/>
      <c r="T80" s="10"/>
      <c r="U80" s="10"/>
      <c r="V80" s="48"/>
      <c r="W80" s="10"/>
      <c r="X80" s="10"/>
      <c r="Y80" s="10"/>
      <c r="Z80" s="10"/>
    </row>
    <row r="81" ht="15.75" customHeight="1">
      <c r="A81" s="10"/>
      <c r="B81" s="10"/>
      <c r="C81" s="10"/>
      <c r="D81" s="10"/>
      <c r="E81" s="10"/>
      <c r="F81" s="10"/>
      <c r="G81" s="10"/>
      <c r="H81" s="10"/>
      <c r="I81" s="10"/>
      <c r="J81" s="10"/>
      <c r="K81" s="10"/>
      <c r="L81" s="10"/>
      <c r="M81" s="10"/>
      <c r="N81" s="10"/>
      <c r="O81" s="10"/>
      <c r="P81" s="10"/>
      <c r="Q81" s="10"/>
      <c r="R81" s="10"/>
      <c r="S81" s="10"/>
      <c r="T81" s="10"/>
      <c r="U81" s="10"/>
      <c r="V81" s="48"/>
      <c r="W81" s="10"/>
      <c r="X81" s="10"/>
      <c r="Y81" s="10"/>
      <c r="Z81" s="10"/>
    </row>
    <row r="82" ht="15.75" customHeight="1">
      <c r="A82" s="10"/>
      <c r="B82" s="10"/>
      <c r="C82" s="10"/>
      <c r="D82" s="10"/>
      <c r="E82" s="10"/>
      <c r="F82" s="10"/>
      <c r="G82" s="10"/>
      <c r="H82" s="10"/>
      <c r="I82" s="10"/>
      <c r="J82" s="10"/>
      <c r="K82" s="10"/>
      <c r="L82" s="10"/>
      <c r="M82" s="10"/>
      <c r="N82" s="10"/>
      <c r="O82" s="10"/>
      <c r="P82" s="10"/>
      <c r="Q82" s="10"/>
      <c r="R82" s="10"/>
      <c r="S82" s="10"/>
      <c r="T82" s="10"/>
      <c r="U82" s="10"/>
      <c r="V82" s="48"/>
      <c r="W82" s="10"/>
      <c r="X82" s="10"/>
      <c r="Y82" s="10"/>
      <c r="Z82" s="10"/>
    </row>
    <row r="83" ht="15.75" customHeight="1">
      <c r="A83" s="10"/>
      <c r="B83" s="10"/>
      <c r="C83" s="10"/>
      <c r="D83" s="10"/>
      <c r="E83" s="10"/>
      <c r="F83" s="10"/>
      <c r="G83" s="10"/>
      <c r="H83" s="10"/>
      <c r="I83" s="10"/>
      <c r="J83" s="10"/>
      <c r="K83" s="10"/>
      <c r="L83" s="10"/>
      <c r="M83" s="10"/>
      <c r="N83" s="10"/>
      <c r="O83" s="10"/>
      <c r="P83" s="10"/>
      <c r="Q83" s="10"/>
      <c r="R83" s="10"/>
      <c r="S83" s="10"/>
      <c r="T83" s="10"/>
      <c r="U83" s="10"/>
      <c r="V83" s="48"/>
      <c r="W83" s="10"/>
      <c r="X83" s="10"/>
      <c r="Y83" s="10"/>
      <c r="Z83" s="10"/>
    </row>
    <row r="84" ht="15.75" customHeight="1">
      <c r="A84" s="10"/>
      <c r="B84" s="10"/>
      <c r="C84" s="10"/>
      <c r="D84" s="10"/>
      <c r="E84" s="10"/>
      <c r="F84" s="10"/>
      <c r="G84" s="10"/>
      <c r="H84" s="10"/>
      <c r="I84" s="10"/>
      <c r="J84" s="10"/>
      <c r="K84" s="10"/>
      <c r="L84" s="10"/>
      <c r="M84" s="10"/>
      <c r="N84" s="10"/>
      <c r="O84" s="10"/>
      <c r="P84" s="10"/>
      <c r="Q84" s="10"/>
      <c r="R84" s="10"/>
      <c r="S84" s="10"/>
      <c r="T84" s="10"/>
      <c r="U84" s="10"/>
      <c r="V84" s="48"/>
      <c r="W84" s="10"/>
      <c r="X84" s="10"/>
      <c r="Y84" s="10"/>
      <c r="Z84" s="10"/>
    </row>
    <row r="85" ht="15.75" customHeight="1">
      <c r="A85" s="10"/>
      <c r="B85" s="10"/>
      <c r="C85" s="10"/>
      <c r="D85" s="10"/>
      <c r="E85" s="10"/>
      <c r="F85" s="10"/>
      <c r="G85" s="10"/>
      <c r="H85" s="10"/>
      <c r="I85" s="10"/>
      <c r="J85" s="10"/>
      <c r="K85" s="10"/>
      <c r="L85" s="10"/>
      <c r="M85" s="10"/>
      <c r="N85" s="10"/>
      <c r="O85" s="10"/>
      <c r="P85" s="10"/>
      <c r="Q85" s="10"/>
      <c r="R85" s="10"/>
      <c r="S85" s="10"/>
      <c r="T85" s="10"/>
      <c r="U85" s="10"/>
      <c r="V85" s="48"/>
      <c r="W85" s="10"/>
      <c r="X85" s="10"/>
      <c r="Y85" s="10"/>
      <c r="Z85" s="10"/>
    </row>
    <row r="86" ht="15.75" customHeight="1">
      <c r="A86" s="10"/>
      <c r="B86" s="10"/>
      <c r="C86" s="10"/>
      <c r="D86" s="10"/>
      <c r="E86" s="10"/>
      <c r="F86" s="10"/>
      <c r="G86" s="10"/>
      <c r="H86" s="10"/>
      <c r="I86" s="10"/>
      <c r="J86" s="10"/>
      <c r="K86" s="10"/>
      <c r="L86" s="10"/>
      <c r="M86" s="10"/>
      <c r="N86" s="10"/>
      <c r="O86" s="10"/>
      <c r="P86" s="10"/>
      <c r="Q86" s="10"/>
      <c r="R86" s="10"/>
      <c r="S86" s="10"/>
      <c r="T86" s="10"/>
      <c r="U86" s="10"/>
      <c r="V86" s="48"/>
      <c r="W86" s="10"/>
      <c r="X86" s="10"/>
      <c r="Y86" s="10"/>
      <c r="Z86" s="10"/>
    </row>
    <row r="87" ht="15.75" customHeight="1">
      <c r="A87" s="10"/>
      <c r="B87" s="10"/>
      <c r="C87" s="10"/>
      <c r="D87" s="10"/>
      <c r="E87" s="10"/>
      <c r="F87" s="10"/>
      <c r="G87" s="10"/>
      <c r="H87" s="10"/>
      <c r="I87" s="10"/>
      <c r="J87" s="10"/>
      <c r="K87" s="10"/>
      <c r="L87" s="10"/>
      <c r="M87" s="10"/>
      <c r="N87" s="10"/>
      <c r="O87" s="10"/>
      <c r="P87" s="10"/>
      <c r="Q87" s="10"/>
      <c r="R87" s="10"/>
      <c r="S87" s="10"/>
      <c r="T87" s="10"/>
      <c r="U87" s="10"/>
      <c r="V87" s="48"/>
      <c r="W87" s="10"/>
      <c r="X87" s="10"/>
      <c r="Y87" s="10"/>
      <c r="Z87" s="10"/>
    </row>
    <row r="88" ht="15.75" customHeight="1">
      <c r="A88" s="10"/>
      <c r="B88" s="10"/>
      <c r="C88" s="10"/>
      <c r="D88" s="10"/>
      <c r="E88" s="10"/>
      <c r="F88" s="10"/>
      <c r="G88" s="10"/>
      <c r="H88" s="10"/>
      <c r="I88" s="10"/>
      <c r="J88" s="10"/>
      <c r="K88" s="10"/>
      <c r="L88" s="10"/>
      <c r="M88" s="10"/>
      <c r="N88" s="10"/>
      <c r="O88" s="10"/>
      <c r="P88" s="10"/>
      <c r="Q88" s="10"/>
      <c r="R88" s="10"/>
      <c r="S88" s="10"/>
      <c r="T88" s="10"/>
      <c r="U88" s="10"/>
      <c r="V88" s="48"/>
      <c r="W88" s="10"/>
      <c r="X88" s="10"/>
      <c r="Y88" s="10"/>
      <c r="Z88" s="10"/>
    </row>
    <row r="89" ht="15.75" customHeight="1">
      <c r="A89" s="10"/>
      <c r="B89" s="10"/>
      <c r="C89" s="10"/>
      <c r="D89" s="10"/>
      <c r="E89" s="10"/>
      <c r="F89" s="10"/>
      <c r="G89" s="10"/>
      <c r="H89" s="10"/>
      <c r="I89" s="10"/>
      <c r="J89" s="10"/>
      <c r="K89" s="10"/>
      <c r="L89" s="10"/>
      <c r="M89" s="10"/>
      <c r="N89" s="10"/>
      <c r="O89" s="10"/>
      <c r="P89" s="10"/>
      <c r="Q89" s="10"/>
      <c r="R89" s="10"/>
      <c r="S89" s="10"/>
      <c r="T89" s="10"/>
      <c r="U89" s="10"/>
      <c r="V89" s="48"/>
      <c r="W89" s="10"/>
      <c r="X89" s="10"/>
      <c r="Y89" s="10"/>
      <c r="Z89" s="10"/>
    </row>
    <row r="90" ht="15.75" customHeight="1">
      <c r="A90" s="10"/>
      <c r="B90" s="10"/>
      <c r="C90" s="10"/>
      <c r="D90" s="10"/>
      <c r="E90" s="10"/>
      <c r="F90" s="10"/>
      <c r="G90" s="10"/>
      <c r="H90" s="10"/>
      <c r="I90" s="10"/>
      <c r="J90" s="10"/>
      <c r="K90" s="10"/>
      <c r="L90" s="10"/>
      <c r="M90" s="10"/>
      <c r="N90" s="10"/>
      <c r="O90" s="10"/>
      <c r="P90" s="10"/>
      <c r="Q90" s="10"/>
      <c r="R90" s="10"/>
      <c r="S90" s="10"/>
      <c r="T90" s="10"/>
      <c r="U90" s="10"/>
      <c r="V90" s="48"/>
      <c r="W90" s="10"/>
      <c r="X90" s="10"/>
      <c r="Y90" s="10"/>
      <c r="Z90" s="10"/>
    </row>
    <row r="91" ht="15.75" customHeight="1">
      <c r="A91" s="10"/>
      <c r="B91" s="10"/>
      <c r="C91" s="10"/>
      <c r="D91" s="10"/>
      <c r="E91" s="10"/>
      <c r="F91" s="10"/>
      <c r="G91" s="10"/>
      <c r="H91" s="10"/>
      <c r="I91" s="10"/>
      <c r="J91" s="10"/>
      <c r="K91" s="10"/>
      <c r="L91" s="10"/>
      <c r="M91" s="10"/>
      <c r="N91" s="10"/>
      <c r="O91" s="10"/>
      <c r="P91" s="10"/>
      <c r="Q91" s="10"/>
      <c r="R91" s="10"/>
      <c r="S91" s="10"/>
      <c r="T91" s="10"/>
      <c r="U91" s="10"/>
      <c r="V91" s="48"/>
      <c r="W91" s="10"/>
      <c r="X91" s="10"/>
      <c r="Y91" s="10"/>
      <c r="Z91" s="10"/>
    </row>
    <row r="92" ht="15.75" customHeight="1">
      <c r="A92" s="10"/>
      <c r="B92" s="10"/>
      <c r="C92" s="10"/>
      <c r="D92" s="10"/>
      <c r="E92" s="10"/>
      <c r="F92" s="10"/>
      <c r="G92" s="10"/>
      <c r="H92" s="10"/>
      <c r="I92" s="10"/>
      <c r="J92" s="10"/>
      <c r="K92" s="10"/>
      <c r="L92" s="10"/>
      <c r="M92" s="10"/>
      <c r="N92" s="10"/>
      <c r="O92" s="10"/>
      <c r="P92" s="10"/>
      <c r="Q92" s="10"/>
      <c r="R92" s="10"/>
      <c r="S92" s="10"/>
      <c r="T92" s="10"/>
      <c r="U92" s="10"/>
      <c r="V92" s="48"/>
      <c r="W92" s="10"/>
      <c r="X92" s="10"/>
      <c r="Y92" s="10"/>
      <c r="Z92" s="10"/>
    </row>
    <row r="93" ht="15.75" customHeight="1">
      <c r="A93" s="10"/>
      <c r="B93" s="10"/>
      <c r="C93" s="10"/>
      <c r="D93" s="10"/>
      <c r="E93" s="10"/>
      <c r="F93" s="10"/>
      <c r="G93" s="10"/>
      <c r="H93" s="10"/>
      <c r="I93" s="10"/>
      <c r="J93" s="10"/>
      <c r="K93" s="10"/>
      <c r="L93" s="10"/>
      <c r="M93" s="10"/>
      <c r="N93" s="10"/>
      <c r="O93" s="10"/>
      <c r="P93" s="10"/>
      <c r="Q93" s="10"/>
      <c r="R93" s="10"/>
      <c r="S93" s="10"/>
      <c r="T93" s="10"/>
      <c r="U93" s="10"/>
      <c r="V93" s="48"/>
      <c r="W93" s="10"/>
      <c r="X93" s="10"/>
      <c r="Y93" s="10"/>
      <c r="Z93" s="10"/>
    </row>
    <row r="94" ht="15.75" customHeight="1">
      <c r="A94" s="10"/>
      <c r="B94" s="10"/>
      <c r="C94" s="10"/>
      <c r="D94" s="10"/>
      <c r="E94" s="10"/>
      <c r="F94" s="10"/>
      <c r="G94" s="10"/>
      <c r="H94" s="10"/>
      <c r="I94" s="10"/>
      <c r="J94" s="10"/>
      <c r="K94" s="10"/>
      <c r="L94" s="10"/>
      <c r="M94" s="10"/>
      <c r="N94" s="10"/>
      <c r="O94" s="10"/>
      <c r="P94" s="10"/>
      <c r="Q94" s="10"/>
      <c r="R94" s="10"/>
      <c r="S94" s="10"/>
      <c r="T94" s="10"/>
      <c r="U94" s="10"/>
      <c r="V94" s="48"/>
      <c r="W94" s="10"/>
      <c r="X94" s="10"/>
      <c r="Y94" s="10"/>
      <c r="Z94" s="10"/>
    </row>
    <row r="95" ht="15.75" customHeight="1">
      <c r="A95" s="10"/>
      <c r="B95" s="10"/>
      <c r="C95" s="10"/>
      <c r="D95" s="10"/>
      <c r="E95" s="10"/>
      <c r="F95" s="10"/>
      <c r="G95" s="10"/>
      <c r="H95" s="10"/>
      <c r="I95" s="10"/>
      <c r="J95" s="10"/>
      <c r="K95" s="10"/>
      <c r="L95" s="10"/>
      <c r="M95" s="10"/>
      <c r="N95" s="10"/>
      <c r="O95" s="10"/>
      <c r="P95" s="10"/>
      <c r="Q95" s="10"/>
      <c r="R95" s="10"/>
      <c r="S95" s="10"/>
      <c r="T95" s="10"/>
      <c r="U95" s="10"/>
      <c r="V95" s="48"/>
      <c r="W95" s="10"/>
      <c r="X95" s="10"/>
      <c r="Y95" s="10"/>
      <c r="Z95" s="10"/>
    </row>
    <row r="96" ht="15.75" customHeight="1">
      <c r="A96" s="10"/>
      <c r="B96" s="10"/>
      <c r="C96" s="10"/>
      <c r="D96" s="10"/>
      <c r="E96" s="10"/>
      <c r="F96" s="10"/>
      <c r="G96" s="10"/>
      <c r="H96" s="10"/>
      <c r="I96" s="10"/>
      <c r="J96" s="10"/>
      <c r="K96" s="10"/>
      <c r="L96" s="10"/>
      <c r="M96" s="10"/>
      <c r="N96" s="10"/>
      <c r="O96" s="10"/>
      <c r="P96" s="10"/>
      <c r="Q96" s="10"/>
      <c r="R96" s="10"/>
      <c r="S96" s="10"/>
      <c r="T96" s="10"/>
      <c r="U96" s="10"/>
      <c r="V96" s="48"/>
      <c r="W96" s="10"/>
      <c r="X96" s="10"/>
      <c r="Y96" s="10"/>
      <c r="Z96" s="10"/>
    </row>
    <row r="97" ht="15.75" customHeight="1">
      <c r="A97" s="10"/>
      <c r="B97" s="10"/>
      <c r="C97" s="10"/>
      <c r="D97" s="10"/>
      <c r="E97" s="10"/>
      <c r="F97" s="10"/>
      <c r="G97" s="10"/>
      <c r="H97" s="10"/>
      <c r="I97" s="10"/>
      <c r="J97" s="10"/>
      <c r="K97" s="10"/>
      <c r="L97" s="10"/>
      <c r="M97" s="10"/>
      <c r="N97" s="10"/>
      <c r="O97" s="10"/>
      <c r="P97" s="10"/>
      <c r="Q97" s="10"/>
      <c r="R97" s="10"/>
      <c r="S97" s="10"/>
      <c r="T97" s="10"/>
      <c r="U97" s="10"/>
      <c r="V97" s="48"/>
      <c r="W97" s="10"/>
      <c r="X97" s="10"/>
      <c r="Y97" s="10"/>
      <c r="Z97" s="10"/>
    </row>
    <row r="98" ht="15.75" customHeight="1">
      <c r="A98" s="10"/>
      <c r="B98" s="10"/>
      <c r="C98" s="10"/>
      <c r="D98" s="10"/>
      <c r="E98" s="10"/>
      <c r="F98" s="10"/>
      <c r="G98" s="10"/>
      <c r="H98" s="10"/>
      <c r="I98" s="10"/>
      <c r="J98" s="10"/>
      <c r="K98" s="10"/>
      <c r="L98" s="10"/>
      <c r="M98" s="10"/>
      <c r="N98" s="10"/>
      <c r="O98" s="10"/>
      <c r="P98" s="10"/>
      <c r="Q98" s="10"/>
      <c r="R98" s="10"/>
      <c r="S98" s="10"/>
      <c r="T98" s="10"/>
      <c r="U98" s="10"/>
      <c r="V98" s="48"/>
      <c r="W98" s="10"/>
      <c r="X98" s="10"/>
      <c r="Y98" s="10"/>
      <c r="Z98" s="10"/>
    </row>
    <row r="99" ht="15.75" customHeight="1">
      <c r="A99" s="10"/>
      <c r="B99" s="10"/>
      <c r="C99" s="10"/>
      <c r="D99" s="10"/>
      <c r="E99" s="10"/>
      <c r="F99" s="10"/>
      <c r="G99" s="10"/>
      <c r="H99" s="10"/>
      <c r="I99" s="10"/>
      <c r="J99" s="10"/>
      <c r="K99" s="10"/>
      <c r="L99" s="10"/>
      <c r="M99" s="10"/>
      <c r="N99" s="10"/>
      <c r="O99" s="10"/>
      <c r="P99" s="10"/>
      <c r="Q99" s="10"/>
      <c r="R99" s="10"/>
      <c r="S99" s="10"/>
      <c r="T99" s="10"/>
      <c r="U99" s="10"/>
      <c r="V99" s="48"/>
      <c r="W99" s="10"/>
      <c r="X99" s="10"/>
      <c r="Y99" s="10"/>
      <c r="Z99" s="10"/>
    </row>
    <row r="100"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48"/>
      <c r="W100" s="10"/>
      <c r="X100" s="10"/>
      <c r="Y100" s="10"/>
      <c r="Z100" s="10"/>
    </row>
    <row r="101"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48"/>
      <c r="W101" s="10"/>
      <c r="X101" s="10"/>
      <c r="Y101" s="10"/>
      <c r="Z101" s="10"/>
    </row>
    <row r="102"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48"/>
      <c r="W102" s="10"/>
      <c r="X102" s="10"/>
      <c r="Y102" s="10"/>
      <c r="Z102" s="10"/>
    </row>
    <row r="103"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48"/>
      <c r="W103" s="10"/>
      <c r="X103" s="10"/>
      <c r="Y103" s="10"/>
      <c r="Z103" s="10"/>
    </row>
    <row r="104"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48"/>
      <c r="W104" s="10"/>
      <c r="X104" s="10"/>
      <c r="Y104" s="10"/>
      <c r="Z104" s="10"/>
    </row>
    <row r="105"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48"/>
      <c r="W105" s="10"/>
      <c r="X105" s="10"/>
      <c r="Y105" s="10"/>
      <c r="Z105" s="10"/>
    </row>
    <row r="10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48"/>
      <c r="W106" s="10"/>
      <c r="X106" s="10"/>
      <c r="Y106" s="10"/>
      <c r="Z106" s="10"/>
    </row>
    <row r="107"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48"/>
      <c r="W107" s="10"/>
      <c r="X107" s="10"/>
      <c r="Y107" s="10"/>
      <c r="Z107" s="10"/>
    </row>
    <row r="108"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48"/>
      <c r="W108" s="10"/>
      <c r="X108" s="10"/>
      <c r="Y108" s="10"/>
      <c r="Z108" s="10"/>
    </row>
    <row r="109"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48"/>
      <c r="W109" s="10"/>
      <c r="X109" s="10"/>
      <c r="Y109" s="10"/>
      <c r="Z109" s="10"/>
    </row>
    <row r="110"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48"/>
      <c r="W110" s="10"/>
      <c r="X110" s="10"/>
      <c r="Y110" s="10"/>
      <c r="Z110" s="10"/>
    </row>
    <row r="111"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48"/>
      <c r="W111" s="10"/>
      <c r="X111" s="10"/>
      <c r="Y111" s="10"/>
      <c r="Z111" s="10"/>
    </row>
    <row r="112"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48"/>
      <c r="W112" s="10"/>
      <c r="X112" s="10"/>
      <c r="Y112" s="10"/>
      <c r="Z112" s="10"/>
    </row>
    <row r="113"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48"/>
      <c r="W113" s="10"/>
      <c r="X113" s="10"/>
      <c r="Y113" s="10"/>
      <c r="Z113" s="10"/>
    </row>
    <row r="114"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48"/>
      <c r="W114" s="10"/>
      <c r="X114" s="10"/>
      <c r="Y114" s="10"/>
      <c r="Z114" s="10"/>
    </row>
    <row r="115"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48"/>
      <c r="W115" s="10"/>
      <c r="X115" s="10"/>
      <c r="Y115" s="10"/>
      <c r="Z115" s="10"/>
    </row>
    <row r="11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48"/>
      <c r="W116" s="10"/>
      <c r="X116" s="10"/>
      <c r="Y116" s="10"/>
      <c r="Z116" s="10"/>
    </row>
    <row r="117"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48"/>
      <c r="W117" s="10"/>
      <c r="X117" s="10"/>
      <c r="Y117" s="10"/>
      <c r="Z117" s="10"/>
    </row>
    <row r="118"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48"/>
      <c r="W118" s="10"/>
      <c r="X118" s="10"/>
      <c r="Y118" s="10"/>
      <c r="Z118" s="10"/>
    </row>
    <row r="119"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48"/>
      <c r="W119" s="10"/>
      <c r="X119" s="10"/>
      <c r="Y119" s="10"/>
      <c r="Z119" s="10"/>
    </row>
    <row r="120"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48"/>
      <c r="W120" s="10"/>
      <c r="X120" s="10"/>
      <c r="Y120" s="10"/>
      <c r="Z120" s="10"/>
    </row>
    <row r="121"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48"/>
      <c r="W121" s="10"/>
      <c r="X121" s="10"/>
      <c r="Y121" s="10"/>
      <c r="Z121" s="10"/>
    </row>
    <row r="122"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48"/>
      <c r="W122" s="10"/>
      <c r="X122" s="10"/>
      <c r="Y122" s="10"/>
      <c r="Z122" s="10"/>
    </row>
    <row r="123"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48"/>
      <c r="W123" s="10"/>
      <c r="X123" s="10"/>
      <c r="Y123" s="10"/>
      <c r="Z123" s="10"/>
    </row>
    <row r="124"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48"/>
      <c r="W124" s="10"/>
      <c r="X124" s="10"/>
      <c r="Y124" s="10"/>
      <c r="Z124" s="10"/>
    </row>
    <row r="125"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48"/>
      <c r="W125" s="10"/>
      <c r="X125" s="10"/>
      <c r="Y125" s="10"/>
      <c r="Z125" s="10"/>
    </row>
    <row r="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48"/>
      <c r="W126" s="10"/>
      <c r="X126" s="10"/>
      <c r="Y126" s="10"/>
      <c r="Z126" s="10"/>
    </row>
    <row r="127"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48"/>
      <c r="W127" s="10"/>
      <c r="X127" s="10"/>
      <c r="Y127" s="10"/>
      <c r="Z127" s="10"/>
    </row>
    <row r="128"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48"/>
      <c r="W128" s="10"/>
      <c r="X128" s="10"/>
      <c r="Y128" s="10"/>
      <c r="Z128" s="10"/>
    </row>
    <row r="129"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48"/>
      <c r="W129" s="10"/>
      <c r="X129" s="10"/>
      <c r="Y129" s="10"/>
      <c r="Z129" s="10"/>
    </row>
    <row r="130"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48"/>
      <c r="W130" s="10"/>
      <c r="X130" s="10"/>
      <c r="Y130" s="10"/>
      <c r="Z130" s="10"/>
    </row>
    <row r="131"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48"/>
      <c r="W131" s="10"/>
      <c r="X131" s="10"/>
      <c r="Y131" s="10"/>
      <c r="Z131" s="10"/>
    </row>
    <row r="132"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48"/>
      <c r="W132" s="10"/>
      <c r="X132" s="10"/>
      <c r="Y132" s="10"/>
      <c r="Z132" s="10"/>
    </row>
    <row r="133"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48"/>
      <c r="W133" s="10"/>
      <c r="X133" s="10"/>
      <c r="Y133" s="10"/>
      <c r="Z133" s="10"/>
    </row>
    <row r="134"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48"/>
      <c r="W134" s="10"/>
      <c r="X134" s="10"/>
      <c r="Y134" s="10"/>
      <c r="Z134" s="10"/>
    </row>
    <row r="135"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48"/>
      <c r="W135" s="10"/>
      <c r="X135" s="10"/>
      <c r="Y135" s="10"/>
      <c r="Z135" s="10"/>
    </row>
    <row r="13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48"/>
      <c r="W136" s="10"/>
      <c r="X136" s="10"/>
      <c r="Y136" s="10"/>
      <c r="Z136" s="10"/>
    </row>
    <row r="137"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48"/>
      <c r="W137" s="10"/>
      <c r="X137" s="10"/>
      <c r="Y137" s="10"/>
      <c r="Z137" s="10"/>
    </row>
    <row r="138"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48"/>
      <c r="W138" s="10"/>
      <c r="X138" s="10"/>
      <c r="Y138" s="10"/>
      <c r="Z138" s="10"/>
    </row>
    <row r="139"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48"/>
      <c r="W139" s="10"/>
      <c r="X139" s="10"/>
      <c r="Y139" s="10"/>
      <c r="Z139" s="10"/>
    </row>
    <row r="140"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48"/>
      <c r="W140" s="10"/>
      <c r="X140" s="10"/>
      <c r="Y140" s="10"/>
      <c r="Z140" s="10"/>
    </row>
    <row r="141"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48"/>
      <c r="W141" s="10"/>
      <c r="X141" s="10"/>
      <c r="Y141" s="10"/>
      <c r="Z141" s="10"/>
    </row>
    <row r="142"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48"/>
      <c r="W142" s="10"/>
      <c r="X142" s="10"/>
      <c r="Y142" s="10"/>
      <c r="Z142" s="10"/>
    </row>
    <row r="143"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48"/>
      <c r="W143" s="10"/>
      <c r="X143" s="10"/>
      <c r="Y143" s="10"/>
      <c r="Z143" s="10"/>
    </row>
    <row r="144"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48"/>
      <c r="W144" s="10"/>
      <c r="X144" s="10"/>
      <c r="Y144" s="10"/>
      <c r="Z144" s="10"/>
    </row>
    <row r="145"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48"/>
      <c r="W145" s="10"/>
      <c r="X145" s="10"/>
      <c r="Y145" s="10"/>
      <c r="Z145" s="10"/>
    </row>
    <row r="14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48"/>
      <c r="W146" s="10"/>
      <c r="X146" s="10"/>
      <c r="Y146" s="10"/>
      <c r="Z146" s="10"/>
    </row>
    <row r="147"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48"/>
      <c r="W147" s="10"/>
      <c r="X147" s="10"/>
      <c r="Y147" s="10"/>
      <c r="Z147" s="10"/>
    </row>
    <row r="148"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48"/>
      <c r="W148" s="10"/>
      <c r="X148" s="10"/>
      <c r="Y148" s="10"/>
      <c r="Z148" s="10"/>
    </row>
    <row r="149"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48"/>
      <c r="W149" s="10"/>
      <c r="X149" s="10"/>
      <c r="Y149" s="10"/>
      <c r="Z149" s="10"/>
    </row>
    <row r="150"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48"/>
      <c r="W150" s="10"/>
      <c r="X150" s="10"/>
      <c r="Y150" s="10"/>
      <c r="Z150" s="10"/>
    </row>
    <row r="151"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48"/>
      <c r="W151" s="10"/>
      <c r="X151" s="10"/>
      <c r="Y151" s="10"/>
      <c r="Z151" s="10"/>
    </row>
    <row r="152"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48"/>
      <c r="W152" s="10"/>
      <c r="X152" s="10"/>
      <c r="Y152" s="10"/>
      <c r="Z152" s="10"/>
    </row>
    <row r="153"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48"/>
      <c r="W153" s="10"/>
      <c r="X153" s="10"/>
      <c r="Y153" s="10"/>
      <c r="Z153" s="10"/>
    </row>
    <row r="154"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48"/>
      <c r="W154" s="10"/>
      <c r="X154" s="10"/>
      <c r="Y154" s="10"/>
      <c r="Z154" s="10"/>
    </row>
    <row r="155"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48"/>
      <c r="W155" s="10"/>
      <c r="X155" s="10"/>
      <c r="Y155" s="10"/>
      <c r="Z155" s="10"/>
    </row>
    <row r="15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48"/>
      <c r="W156" s="10"/>
      <c r="X156" s="10"/>
      <c r="Y156" s="10"/>
      <c r="Z156" s="10"/>
    </row>
    <row r="157"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48"/>
      <c r="W157" s="10"/>
      <c r="X157" s="10"/>
      <c r="Y157" s="10"/>
      <c r="Z157" s="10"/>
    </row>
    <row r="158"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48"/>
      <c r="W158" s="10"/>
      <c r="X158" s="10"/>
      <c r="Y158" s="10"/>
      <c r="Z158" s="10"/>
    </row>
    <row r="159"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48"/>
      <c r="W159" s="10"/>
      <c r="X159" s="10"/>
      <c r="Y159" s="10"/>
      <c r="Z159" s="10"/>
    </row>
    <row r="160"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48"/>
      <c r="W160" s="10"/>
      <c r="X160" s="10"/>
      <c r="Y160" s="10"/>
      <c r="Z160" s="10"/>
    </row>
    <row r="161"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48"/>
      <c r="W161" s="10"/>
      <c r="X161" s="10"/>
      <c r="Y161" s="10"/>
      <c r="Z161" s="10"/>
    </row>
    <row r="162"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48"/>
      <c r="W162" s="10"/>
      <c r="X162" s="10"/>
      <c r="Y162" s="10"/>
      <c r="Z162" s="10"/>
    </row>
    <row r="163"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48"/>
      <c r="W163" s="10"/>
      <c r="X163" s="10"/>
      <c r="Y163" s="10"/>
      <c r="Z163" s="10"/>
    </row>
    <row r="164"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48"/>
      <c r="W164" s="10"/>
      <c r="X164" s="10"/>
      <c r="Y164" s="10"/>
      <c r="Z164" s="10"/>
    </row>
    <row r="165"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48"/>
      <c r="W165" s="10"/>
      <c r="X165" s="10"/>
      <c r="Y165" s="10"/>
      <c r="Z165" s="10"/>
    </row>
    <row r="16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48"/>
      <c r="W166" s="10"/>
      <c r="X166" s="10"/>
      <c r="Y166" s="10"/>
      <c r="Z166" s="10"/>
    </row>
    <row r="167"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48"/>
      <c r="W167" s="10"/>
      <c r="X167" s="10"/>
      <c r="Y167" s="10"/>
      <c r="Z167" s="10"/>
    </row>
    <row r="168"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48"/>
      <c r="W168" s="10"/>
      <c r="X168" s="10"/>
      <c r="Y168" s="10"/>
      <c r="Z168" s="10"/>
    </row>
    <row r="169"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48"/>
      <c r="W169" s="10"/>
      <c r="X169" s="10"/>
      <c r="Y169" s="10"/>
      <c r="Z169" s="10"/>
    </row>
    <row r="170"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48"/>
      <c r="W170" s="10"/>
      <c r="X170" s="10"/>
      <c r="Y170" s="10"/>
      <c r="Z170" s="10"/>
    </row>
    <row r="171"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48"/>
      <c r="W171" s="10"/>
      <c r="X171" s="10"/>
      <c r="Y171" s="10"/>
      <c r="Z171" s="10"/>
    </row>
    <row r="172"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48"/>
      <c r="W172" s="10"/>
      <c r="X172" s="10"/>
      <c r="Y172" s="10"/>
      <c r="Z172" s="10"/>
    </row>
    <row r="173"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48"/>
      <c r="W173" s="10"/>
      <c r="X173" s="10"/>
      <c r="Y173" s="10"/>
      <c r="Z173" s="10"/>
    </row>
    <row r="174"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48"/>
      <c r="W174" s="10"/>
      <c r="X174" s="10"/>
      <c r="Y174" s="10"/>
      <c r="Z174" s="10"/>
    </row>
    <row r="175"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48"/>
      <c r="W175" s="10"/>
      <c r="X175" s="10"/>
      <c r="Y175" s="10"/>
      <c r="Z175" s="10"/>
    </row>
    <row r="17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48"/>
      <c r="W176" s="10"/>
      <c r="X176" s="10"/>
      <c r="Y176" s="10"/>
      <c r="Z176" s="10"/>
    </row>
    <row r="177"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48"/>
      <c r="W177" s="10"/>
      <c r="X177" s="10"/>
      <c r="Y177" s="10"/>
      <c r="Z177" s="10"/>
    </row>
    <row r="178"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48"/>
      <c r="W178" s="10"/>
      <c r="X178" s="10"/>
      <c r="Y178" s="10"/>
      <c r="Z178" s="10"/>
    </row>
    <row r="179"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48"/>
      <c r="W179" s="10"/>
      <c r="X179" s="10"/>
      <c r="Y179" s="10"/>
      <c r="Z179" s="10"/>
    </row>
    <row r="180"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48"/>
      <c r="W180" s="10"/>
      <c r="X180" s="10"/>
      <c r="Y180" s="10"/>
      <c r="Z180" s="10"/>
    </row>
    <row r="181"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48"/>
      <c r="W181" s="10"/>
      <c r="X181" s="10"/>
      <c r="Y181" s="10"/>
      <c r="Z181" s="10"/>
    </row>
    <row r="182"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48"/>
      <c r="W182" s="10"/>
      <c r="X182" s="10"/>
      <c r="Y182" s="10"/>
      <c r="Z182" s="10"/>
    </row>
    <row r="183"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48"/>
      <c r="W183" s="10"/>
      <c r="X183" s="10"/>
      <c r="Y183" s="10"/>
      <c r="Z183" s="10"/>
    </row>
    <row r="184"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48"/>
      <c r="W184" s="10"/>
      <c r="X184" s="10"/>
      <c r="Y184" s="10"/>
      <c r="Z184" s="10"/>
    </row>
    <row r="185"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48"/>
      <c r="W185" s="10"/>
      <c r="X185" s="10"/>
      <c r="Y185" s="10"/>
      <c r="Z185" s="10"/>
    </row>
    <row r="18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48"/>
      <c r="W186" s="10"/>
      <c r="X186" s="10"/>
      <c r="Y186" s="10"/>
      <c r="Z186" s="10"/>
    </row>
    <row r="187"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48"/>
      <c r="W187" s="10"/>
      <c r="X187" s="10"/>
      <c r="Y187" s="10"/>
      <c r="Z187" s="10"/>
    </row>
    <row r="188"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48"/>
      <c r="W188" s="10"/>
      <c r="X188" s="10"/>
      <c r="Y188" s="10"/>
      <c r="Z188" s="10"/>
    </row>
    <row r="189"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48"/>
      <c r="W189" s="10"/>
      <c r="X189" s="10"/>
      <c r="Y189" s="10"/>
      <c r="Z189" s="10"/>
    </row>
    <row r="190"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48"/>
      <c r="W190" s="10"/>
      <c r="X190" s="10"/>
      <c r="Y190" s="10"/>
      <c r="Z190" s="10"/>
    </row>
    <row r="191"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48"/>
      <c r="W191" s="10"/>
      <c r="X191" s="10"/>
      <c r="Y191" s="10"/>
      <c r="Z191" s="10"/>
    </row>
    <row r="192"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48"/>
      <c r="W192" s="10"/>
      <c r="X192" s="10"/>
      <c r="Y192" s="10"/>
      <c r="Z192" s="10"/>
    </row>
    <row r="193"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48"/>
      <c r="W193" s="10"/>
      <c r="X193" s="10"/>
      <c r="Y193" s="10"/>
      <c r="Z193" s="10"/>
    </row>
    <row r="194"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48"/>
      <c r="W194" s="10"/>
      <c r="X194" s="10"/>
      <c r="Y194" s="10"/>
      <c r="Z194" s="10"/>
    </row>
    <row r="195"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48"/>
      <c r="W195" s="10"/>
      <c r="X195" s="10"/>
      <c r="Y195" s="10"/>
      <c r="Z195" s="10"/>
    </row>
    <row r="19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48"/>
      <c r="W196" s="10"/>
      <c r="X196" s="10"/>
      <c r="Y196" s="10"/>
      <c r="Z196" s="10"/>
    </row>
    <row r="197"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48"/>
      <c r="W197" s="10"/>
      <c r="X197" s="10"/>
      <c r="Y197" s="10"/>
      <c r="Z197" s="10"/>
    </row>
    <row r="198"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48"/>
      <c r="W198" s="10"/>
      <c r="X198" s="10"/>
      <c r="Y198" s="10"/>
      <c r="Z198" s="10"/>
    </row>
    <row r="199"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48"/>
      <c r="W199" s="10"/>
      <c r="X199" s="10"/>
      <c r="Y199" s="10"/>
      <c r="Z199" s="10"/>
    </row>
    <row r="200"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48"/>
      <c r="W200" s="10"/>
      <c r="X200" s="10"/>
      <c r="Y200" s="10"/>
      <c r="Z200" s="10"/>
    </row>
    <row r="201"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48"/>
      <c r="W201" s="10"/>
      <c r="X201" s="10"/>
      <c r="Y201" s="10"/>
      <c r="Z201" s="10"/>
    </row>
    <row r="202"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48"/>
      <c r="W202" s="10"/>
      <c r="X202" s="10"/>
      <c r="Y202" s="10"/>
      <c r="Z202" s="10"/>
    </row>
    <row r="203"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48"/>
      <c r="W203" s="10"/>
      <c r="X203" s="10"/>
      <c r="Y203" s="10"/>
      <c r="Z203" s="10"/>
    </row>
    <row r="204"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48"/>
      <c r="W204" s="10"/>
      <c r="X204" s="10"/>
      <c r="Y204" s="10"/>
      <c r="Z204" s="10"/>
    </row>
    <row r="205"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48"/>
      <c r="W205" s="10"/>
      <c r="X205" s="10"/>
      <c r="Y205" s="10"/>
      <c r="Z205" s="10"/>
    </row>
    <row r="20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48"/>
      <c r="W206" s="10"/>
      <c r="X206" s="10"/>
      <c r="Y206" s="10"/>
      <c r="Z206" s="10"/>
    </row>
    <row r="207"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48"/>
      <c r="W207" s="10"/>
      <c r="X207" s="10"/>
      <c r="Y207" s="10"/>
      <c r="Z207" s="10"/>
    </row>
    <row r="208"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48"/>
      <c r="W208" s="10"/>
      <c r="X208" s="10"/>
      <c r="Y208" s="10"/>
      <c r="Z208" s="10"/>
    </row>
    <row r="209"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48"/>
      <c r="W209" s="10"/>
      <c r="X209" s="10"/>
      <c r="Y209" s="10"/>
      <c r="Z209" s="10"/>
    </row>
    <row r="210"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48"/>
      <c r="W210" s="10"/>
      <c r="X210" s="10"/>
      <c r="Y210" s="10"/>
      <c r="Z210" s="10"/>
    </row>
    <row r="211"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48"/>
      <c r="W211" s="10"/>
      <c r="X211" s="10"/>
      <c r="Y211" s="10"/>
      <c r="Z211" s="10"/>
    </row>
    <row r="212"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48"/>
      <c r="W212" s="10"/>
      <c r="X212" s="10"/>
      <c r="Y212" s="10"/>
      <c r="Z212" s="10"/>
    </row>
    <row r="213"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48"/>
      <c r="W213" s="10"/>
      <c r="X213" s="10"/>
      <c r="Y213" s="10"/>
      <c r="Z213" s="10"/>
    </row>
    <row r="214"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48"/>
      <c r="W214" s="10"/>
      <c r="X214" s="10"/>
      <c r="Y214" s="10"/>
      <c r="Z214" s="10"/>
    </row>
    <row r="215"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48"/>
      <c r="W215" s="10"/>
      <c r="X215" s="10"/>
      <c r="Y215" s="10"/>
      <c r="Z215" s="10"/>
    </row>
    <row r="21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48"/>
      <c r="W216" s="10"/>
      <c r="X216" s="10"/>
      <c r="Y216" s="10"/>
      <c r="Z216" s="10"/>
    </row>
    <row r="217"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48"/>
      <c r="W217" s="10"/>
      <c r="X217" s="10"/>
      <c r="Y217" s="10"/>
      <c r="Z217" s="10"/>
    </row>
    <row r="218"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48"/>
      <c r="W218" s="10"/>
      <c r="X218" s="10"/>
      <c r="Y218" s="10"/>
      <c r="Z218" s="10"/>
    </row>
    <row r="219"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48"/>
      <c r="W219" s="10"/>
      <c r="X219" s="10"/>
      <c r="Y219" s="10"/>
      <c r="Z219" s="10"/>
    </row>
    <row r="220"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48"/>
      <c r="W220" s="10"/>
      <c r="X220" s="10"/>
      <c r="Y220" s="10"/>
      <c r="Z220" s="10"/>
    </row>
    <row r="221"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48"/>
      <c r="W221" s="10"/>
      <c r="X221" s="10"/>
      <c r="Y221" s="10"/>
      <c r="Z221" s="10"/>
    </row>
    <row r="222"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48"/>
      <c r="W222" s="10"/>
      <c r="X222" s="10"/>
      <c r="Y222" s="10"/>
      <c r="Z222" s="10"/>
    </row>
    <row r="223"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48"/>
      <c r="W223" s="10"/>
      <c r="X223" s="10"/>
      <c r="Y223" s="10"/>
      <c r="Z223" s="10"/>
    </row>
    <row r="224"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48"/>
      <c r="W224" s="10"/>
      <c r="X224" s="10"/>
      <c r="Y224" s="10"/>
      <c r="Z224" s="10"/>
    </row>
    <row r="225"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48"/>
      <c r="W225" s="10"/>
      <c r="X225" s="10"/>
      <c r="Y225" s="10"/>
      <c r="Z225" s="10"/>
    </row>
    <row r="2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48"/>
      <c r="W226" s="10"/>
      <c r="X226" s="10"/>
      <c r="Y226" s="10"/>
      <c r="Z226" s="10"/>
    </row>
    <row r="227"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48"/>
      <c r="W227" s="10"/>
      <c r="X227" s="10"/>
      <c r="Y227" s="10"/>
      <c r="Z227" s="10"/>
    </row>
    <row r="228"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48"/>
      <c r="W228" s="10"/>
      <c r="X228" s="10"/>
      <c r="Y228" s="10"/>
      <c r="Z228" s="10"/>
    </row>
    <row r="229"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48"/>
      <c r="W229" s="10"/>
      <c r="X229" s="10"/>
      <c r="Y229" s="10"/>
      <c r="Z229" s="10"/>
    </row>
    <row r="230"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48"/>
      <c r="W230" s="10"/>
      <c r="X230" s="10"/>
      <c r="Y230" s="10"/>
      <c r="Z230" s="10"/>
    </row>
    <row r="231"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48"/>
      <c r="W231" s="10"/>
      <c r="X231" s="10"/>
      <c r="Y231" s="10"/>
      <c r="Z231" s="10"/>
    </row>
    <row r="232"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48"/>
      <c r="W232" s="10"/>
      <c r="X232" s="10"/>
      <c r="Y232" s="10"/>
      <c r="Z232" s="10"/>
    </row>
    <row r="233"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48"/>
      <c r="W233" s="10"/>
      <c r="X233" s="10"/>
      <c r="Y233" s="10"/>
      <c r="Z233" s="10"/>
    </row>
    <row r="234"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48"/>
      <c r="W234" s="10"/>
      <c r="X234" s="10"/>
      <c r="Y234" s="10"/>
      <c r="Z234" s="10"/>
    </row>
    <row r="235"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48"/>
      <c r="W235" s="10"/>
      <c r="X235" s="10"/>
      <c r="Y235" s="10"/>
      <c r="Z235" s="10"/>
    </row>
    <row r="23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48"/>
      <c r="W236" s="10"/>
      <c r="X236" s="10"/>
      <c r="Y236" s="10"/>
      <c r="Z236" s="10"/>
    </row>
    <row r="237"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48"/>
      <c r="W237" s="10"/>
      <c r="X237" s="10"/>
      <c r="Y237" s="10"/>
      <c r="Z237" s="10"/>
    </row>
    <row r="238"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48"/>
      <c r="W238" s="10"/>
      <c r="X238" s="10"/>
      <c r="Y238" s="10"/>
      <c r="Z238" s="10"/>
    </row>
    <row r="239"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48"/>
      <c r="W239" s="10"/>
      <c r="X239" s="10"/>
      <c r="Y239" s="10"/>
      <c r="Z239" s="10"/>
    </row>
    <row r="240"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48"/>
      <c r="W240" s="10"/>
      <c r="X240" s="10"/>
      <c r="Y240" s="10"/>
      <c r="Z240" s="10"/>
    </row>
    <row r="241"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48"/>
      <c r="W241" s="10"/>
      <c r="X241" s="10"/>
      <c r="Y241" s="10"/>
      <c r="Z241" s="10"/>
    </row>
    <row r="242"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48"/>
      <c r="W242" s="10"/>
      <c r="X242" s="10"/>
      <c r="Y242" s="10"/>
      <c r="Z242" s="10"/>
    </row>
    <row r="243"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48"/>
      <c r="W243" s="10"/>
      <c r="X243" s="10"/>
      <c r="Y243" s="10"/>
      <c r="Z243" s="10"/>
    </row>
    <row r="244"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48"/>
      <c r="W244" s="10"/>
      <c r="X244" s="10"/>
      <c r="Y244" s="10"/>
      <c r="Z244" s="10"/>
    </row>
    <row r="245"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48"/>
      <c r="W245" s="10"/>
      <c r="X245" s="10"/>
      <c r="Y245" s="10"/>
      <c r="Z245" s="10"/>
    </row>
    <row r="24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48"/>
      <c r="W246" s="10"/>
      <c r="X246" s="10"/>
      <c r="Y246" s="10"/>
      <c r="Z246" s="10"/>
    </row>
    <row r="247"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48"/>
      <c r="W247" s="10"/>
      <c r="X247" s="10"/>
      <c r="Y247" s="10"/>
      <c r="Z247" s="10"/>
    </row>
    <row r="248"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48"/>
      <c r="W248" s="10"/>
      <c r="X248" s="10"/>
      <c r="Y248" s="10"/>
      <c r="Z248" s="10"/>
    </row>
    <row r="249"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48"/>
      <c r="W249" s="10"/>
      <c r="X249" s="10"/>
      <c r="Y249" s="10"/>
      <c r="Z249" s="10"/>
    </row>
    <row r="250"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48"/>
      <c r="W250" s="10"/>
      <c r="X250" s="10"/>
      <c r="Y250" s="10"/>
      <c r="Z250" s="10"/>
    </row>
    <row r="251"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48"/>
      <c r="W251" s="10"/>
      <c r="X251" s="10"/>
      <c r="Y251" s="10"/>
      <c r="Z251" s="10"/>
    </row>
    <row r="252"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48"/>
      <c r="W252" s="10"/>
      <c r="X252" s="10"/>
      <c r="Y252" s="10"/>
      <c r="Z252" s="10"/>
    </row>
    <row r="253"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48"/>
      <c r="W253" s="10"/>
      <c r="X253" s="10"/>
      <c r="Y253" s="10"/>
      <c r="Z253" s="10"/>
    </row>
    <row r="254"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48"/>
      <c r="W254" s="10"/>
      <c r="X254" s="10"/>
      <c r="Y254" s="10"/>
      <c r="Z254" s="10"/>
    </row>
    <row r="255"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48"/>
      <c r="W255" s="10"/>
      <c r="X255" s="10"/>
      <c r="Y255" s="10"/>
      <c r="Z255" s="10"/>
    </row>
    <row r="25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48"/>
      <c r="W256" s="10"/>
      <c r="X256" s="10"/>
      <c r="Y256" s="10"/>
      <c r="Z256" s="10"/>
    </row>
    <row r="257"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48"/>
      <c r="W257" s="10"/>
      <c r="X257" s="10"/>
      <c r="Y257" s="10"/>
      <c r="Z257" s="10"/>
    </row>
    <row r="258"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48"/>
      <c r="W258" s="10"/>
      <c r="X258" s="10"/>
      <c r="Y258" s="10"/>
      <c r="Z258" s="10"/>
    </row>
    <row r="259"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48"/>
      <c r="W259" s="10"/>
      <c r="X259" s="10"/>
      <c r="Y259" s="10"/>
      <c r="Z259" s="10"/>
    </row>
    <row r="260"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48"/>
      <c r="W260" s="10"/>
      <c r="X260" s="10"/>
      <c r="Y260" s="10"/>
      <c r="Z260" s="10"/>
    </row>
    <row r="261"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48"/>
      <c r="W261" s="10"/>
      <c r="X261" s="10"/>
      <c r="Y261" s="10"/>
      <c r="Z261" s="10"/>
    </row>
    <row r="262"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48"/>
      <c r="W262" s="10"/>
      <c r="X262" s="10"/>
      <c r="Y262" s="10"/>
      <c r="Z262" s="10"/>
    </row>
    <row r="263"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48"/>
      <c r="W263" s="10"/>
      <c r="X263" s="10"/>
      <c r="Y263" s="10"/>
      <c r="Z263" s="10"/>
    </row>
    <row r="264"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48"/>
      <c r="W264" s="10"/>
      <c r="X264" s="10"/>
      <c r="Y264" s="10"/>
      <c r="Z264" s="10"/>
    </row>
    <row r="265"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48"/>
      <c r="W265" s="10"/>
      <c r="X265" s="10"/>
      <c r="Y265" s="10"/>
      <c r="Z265" s="10"/>
    </row>
    <row r="26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48"/>
      <c r="W266" s="10"/>
      <c r="X266" s="10"/>
      <c r="Y266" s="10"/>
      <c r="Z266" s="10"/>
    </row>
    <row r="267"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48"/>
      <c r="W267" s="10"/>
      <c r="X267" s="10"/>
      <c r="Y267" s="10"/>
      <c r="Z267" s="10"/>
    </row>
    <row r="268"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48"/>
      <c r="W268" s="10"/>
      <c r="X268" s="10"/>
      <c r="Y268" s="10"/>
      <c r="Z268" s="10"/>
    </row>
    <row r="269"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48"/>
      <c r="W269" s="10"/>
      <c r="X269" s="10"/>
      <c r="Y269" s="10"/>
      <c r="Z269" s="10"/>
    </row>
    <row r="270"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48"/>
      <c r="W270" s="10"/>
      <c r="X270" s="10"/>
      <c r="Y270" s="10"/>
      <c r="Z270" s="10"/>
    </row>
    <row r="271"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48"/>
      <c r="W271" s="10"/>
      <c r="X271" s="10"/>
      <c r="Y271" s="10"/>
      <c r="Z271" s="10"/>
    </row>
    <row r="272"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48"/>
      <c r="W272" s="10"/>
      <c r="X272" s="10"/>
      <c r="Y272" s="10"/>
      <c r="Z272" s="10"/>
    </row>
    <row r="273"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48"/>
      <c r="W273" s="10"/>
      <c r="X273" s="10"/>
      <c r="Y273" s="10"/>
      <c r="Z273" s="10"/>
    </row>
    <row r="274"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48"/>
      <c r="W274" s="10"/>
      <c r="X274" s="10"/>
      <c r="Y274" s="10"/>
      <c r="Z274" s="10"/>
    </row>
    <row r="275"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48"/>
      <c r="W275" s="10"/>
      <c r="X275" s="10"/>
      <c r="Y275" s="10"/>
      <c r="Z275" s="10"/>
    </row>
    <row r="27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48"/>
      <c r="W276" s="10"/>
      <c r="X276" s="10"/>
      <c r="Y276" s="10"/>
      <c r="Z276" s="10"/>
    </row>
    <row r="277"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48"/>
      <c r="W277" s="10"/>
      <c r="X277" s="10"/>
      <c r="Y277" s="10"/>
      <c r="Z277" s="10"/>
    </row>
    <row r="278"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48"/>
      <c r="W278" s="10"/>
      <c r="X278" s="10"/>
      <c r="Y278" s="10"/>
      <c r="Z278" s="10"/>
    </row>
    <row r="279"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48"/>
      <c r="W279" s="10"/>
      <c r="X279" s="10"/>
      <c r="Y279" s="10"/>
      <c r="Z279" s="10"/>
    </row>
    <row r="280"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48"/>
      <c r="W280" s="10"/>
      <c r="X280" s="10"/>
      <c r="Y280" s="10"/>
      <c r="Z280" s="10"/>
    </row>
    <row r="281"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48"/>
      <c r="W281" s="10"/>
      <c r="X281" s="10"/>
      <c r="Y281" s="10"/>
      <c r="Z281" s="10"/>
    </row>
    <row r="282"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48"/>
      <c r="W282" s="10"/>
      <c r="X282" s="10"/>
      <c r="Y282" s="10"/>
      <c r="Z282" s="10"/>
    </row>
    <row r="283"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48"/>
      <c r="W283" s="10"/>
      <c r="X283" s="10"/>
      <c r="Y283" s="10"/>
      <c r="Z283" s="10"/>
    </row>
    <row r="284"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48"/>
      <c r="W284" s="10"/>
      <c r="X284" s="10"/>
      <c r="Y284" s="10"/>
      <c r="Z284" s="10"/>
    </row>
    <row r="285"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48"/>
      <c r="W285" s="10"/>
      <c r="X285" s="10"/>
      <c r="Y285" s="10"/>
      <c r="Z285" s="10"/>
    </row>
    <row r="28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48"/>
      <c r="W286" s="10"/>
      <c r="X286" s="10"/>
      <c r="Y286" s="10"/>
      <c r="Z286" s="10"/>
    </row>
    <row r="287"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48"/>
      <c r="W287" s="10"/>
      <c r="X287" s="10"/>
      <c r="Y287" s="10"/>
      <c r="Z287" s="10"/>
    </row>
    <row r="288"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48"/>
      <c r="W288" s="10"/>
      <c r="X288" s="10"/>
      <c r="Y288" s="10"/>
      <c r="Z288" s="10"/>
    </row>
    <row r="289"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48"/>
      <c r="W289" s="10"/>
      <c r="X289" s="10"/>
      <c r="Y289" s="10"/>
      <c r="Z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48"/>
      <c r="W290" s="10"/>
      <c r="X290" s="10"/>
      <c r="Y290" s="10"/>
      <c r="Z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48"/>
      <c r="W291" s="10"/>
      <c r="X291" s="10"/>
      <c r="Y291" s="10"/>
      <c r="Z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48"/>
      <c r="W292" s="10"/>
      <c r="X292" s="10"/>
      <c r="Y292" s="10"/>
      <c r="Z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48"/>
      <c r="W293" s="10"/>
      <c r="X293" s="10"/>
      <c r="Y293" s="10"/>
      <c r="Z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48"/>
      <c r="W294" s="10"/>
      <c r="X294" s="10"/>
      <c r="Y294" s="10"/>
      <c r="Z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48"/>
      <c r="W295" s="10"/>
      <c r="X295" s="10"/>
      <c r="Y295" s="10"/>
      <c r="Z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48"/>
      <c r="W296" s="10"/>
      <c r="X296" s="10"/>
      <c r="Y296" s="10"/>
      <c r="Z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48"/>
      <c r="W297" s="10"/>
      <c r="X297" s="10"/>
      <c r="Y297" s="10"/>
      <c r="Z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48"/>
      <c r="W298" s="10"/>
      <c r="X298" s="10"/>
      <c r="Y298" s="10"/>
      <c r="Z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48"/>
      <c r="W299" s="10"/>
      <c r="X299" s="10"/>
      <c r="Y299" s="10"/>
      <c r="Z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48"/>
      <c r="W300" s="10"/>
      <c r="X300" s="10"/>
      <c r="Y300" s="10"/>
      <c r="Z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48"/>
      <c r="W301" s="10"/>
      <c r="X301" s="10"/>
      <c r="Y301" s="10"/>
      <c r="Z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48"/>
      <c r="W302" s="10"/>
      <c r="X302" s="10"/>
      <c r="Y302" s="10"/>
      <c r="Z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48"/>
      <c r="W303" s="10"/>
      <c r="X303" s="10"/>
      <c r="Y303" s="10"/>
      <c r="Z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48"/>
      <c r="W304" s="10"/>
      <c r="X304" s="10"/>
      <c r="Y304" s="10"/>
      <c r="Z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48"/>
      <c r="W305" s="10"/>
      <c r="X305" s="10"/>
      <c r="Y305" s="10"/>
      <c r="Z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48"/>
      <c r="W306" s="10"/>
      <c r="X306" s="10"/>
      <c r="Y306" s="10"/>
      <c r="Z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48"/>
      <c r="W307" s="10"/>
      <c r="X307" s="10"/>
      <c r="Y307" s="10"/>
      <c r="Z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48"/>
      <c r="W308" s="10"/>
      <c r="X308" s="10"/>
      <c r="Y308" s="10"/>
      <c r="Z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48"/>
      <c r="W309" s="10"/>
      <c r="X309" s="10"/>
      <c r="Y309" s="10"/>
      <c r="Z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48"/>
      <c r="W310" s="10"/>
      <c r="X310" s="10"/>
      <c r="Y310" s="10"/>
      <c r="Z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48"/>
      <c r="W311" s="10"/>
      <c r="X311" s="10"/>
      <c r="Y311" s="10"/>
      <c r="Z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48"/>
      <c r="W312" s="10"/>
      <c r="X312" s="10"/>
      <c r="Y312" s="10"/>
      <c r="Z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48"/>
      <c r="W313" s="10"/>
      <c r="X313" s="10"/>
      <c r="Y313" s="10"/>
      <c r="Z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48"/>
      <c r="W314" s="10"/>
      <c r="X314" s="10"/>
      <c r="Y314" s="10"/>
      <c r="Z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48"/>
      <c r="W315" s="10"/>
      <c r="X315" s="10"/>
      <c r="Y315" s="10"/>
      <c r="Z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48"/>
      <c r="W316" s="10"/>
      <c r="X316" s="10"/>
      <c r="Y316" s="10"/>
      <c r="Z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48"/>
      <c r="W317" s="10"/>
      <c r="X317" s="10"/>
      <c r="Y317" s="10"/>
      <c r="Z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48"/>
      <c r="W318" s="10"/>
      <c r="X318" s="10"/>
      <c r="Y318" s="10"/>
      <c r="Z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48"/>
      <c r="W319" s="10"/>
      <c r="X319" s="10"/>
      <c r="Y319" s="10"/>
      <c r="Z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48"/>
      <c r="W320" s="10"/>
      <c r="X320" s="10"/>
      <c r="Y320" s="10"/>
      <c r="Z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48"/>
      <c r="W321" s="10"/>
      <c r="X321" s="10"/>
      <c r="Y321" s="10"/>
      <c r="Z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48"/>
      <c r="W322" s="10"/>
      <c r="X322" s="10"/>
      <c r="Y322" s="10"/>
      <c r="Z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48"/>
      <c r="W323" s="10"/>
      <c r="X323" s="10"/>
      <c r="Y323" s="10"/>
      <c r="Z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48"/>
      <c r="W324" s="10"/>
      <c r="X324" s="10"/>
      <c r="Y324" s="10"/>
      <c r="Z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48"/>
      <c r="W325" s="10"/>
      <c r="X325" s="10"/>
      <c r="Y325" s="10"/>
      <c r="Z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48"/>
      <c r="W326" s="10"/>
      <c r="X326" s="10"/>
      <c r="Y326" s="10"/>
      <c r="Z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48"/>
      <c r="W327" s="10"/>
      <c r="X327" s="10"/>
      <c r="Y327" s="10"/>
      <c r="Z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48"/>
      <c r="W328" s="10"/>
      <c r="X328" s="10"/>
      <c r="Y328" s="10"/>
      <c r="Z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48"/>
      <c r="W329" s="10"/>
      <c r="X329" s="10"/>
      <c r="Y329" s="10"/>
      <c r="Z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48"/>
      <c r="W330" s="10"/>
      <c r="X330" s="10"/>
      <c r="Y330" s="10"/>
      <c r="Z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48"/>
      <c r="W331" s="10"/>
      <c r="X331" s="10"/>
      <c r="Y331" s="10"/>
      <c r="Z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48"/>
      <c r="W332" s="10"/>
      <c r="X332" s="10"/>
      <c r="Y332" s="10"/>
      <c r="Z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48"/>
      <c r="W333" s="10"/>
      <c r="X333" s="10"/>
      <c r="Y333" s="10"/>
      <c r="Z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48"/>
      <c r="W334" s="10"/>
      <c r="X334" s="10"/>
      <c r="Y334" s="10"/>
      <c r="Z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48"/>
      <c r="W335" s="10"/>
      <c r="X335" s="10"/>
      <c r="Y335" s="10"/>
      <c r="Z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48"/>
      <c r="W336" s="10"/>
      <c r="X336" s="10"/>
      <c r="Y336" s="10"/>
      <c r="Z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48"/>
      <c r="W337" s="10"/>
      <c r="X337" s="10"/>
      <c r="Y337" s="10"/>
      <c r="Z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48"/>
      <c r="W338" s="10"/>
      <c r="X338" s="10"/>
      <c r="Y338" s="10"/>
      <c r="Z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48"/>
      <c r="W339" s="10"/>
      <c r="X339" s="10"/>
      <c r="Y339" s="10"/>
      <c r="Z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48"/>
      <c r="W340" s="10"/>
      <c r="X340" s="10"/>
      <c r="Y340" s="10"/>
      <c r="Z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48"/>
      <c r="W341" s="10"/>
      <c r="X341" s="10"/>
      <c r="Y341" s="10"/>
      <c r="Z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48"/>
      <c r="W342" s="10"/>
      <c r="X342" s="10"/>
      <c r="Y342" s="10"/>
      <c r="Z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48"/>
      <c r="W343" s="10"/>
      <c r="X343" s="10"/>
      <c r="Y343" s="10"/>
      <c r="Z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48"/>
      <c r="W344" s="10"/>
      <c r="X344" s="10"/>
      <c r="Y344" s="10"/>
      <c r="Z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48"/>
      <c r="W345" s="10"/>
      <c r="X345" s="10"/>
      <c r="Y345" s="10"/>
      <c r="Z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48"/>
      <c r="W346" s="10"/>
      <c r="X346" s="10"/>
      <c r="Y346" s="10"/>
      <c r="Z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48"/>
      <c r="W347" s="10"/>
      <c r="X347" s="10"/>
      <c r="Y347" s="10"/>
      <c r="Z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48"/>
      <c r="W348" s="10"/>
      <c r="X348" s="10"/>
      <c r="Y348" s="10"/>
      <c r="Z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48"/>
      <c r="W349" s="10"/>
      <c r="X349" s="10"/>
      <c r="Y349" s="10"/>
      <c r="Z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48"/>
      <c r="W350" s="10"/>
      <c r="X350" s="10"/>
      <c r="Y350" s="10"/>
      <c r="Z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48"/>
      <c r="W351" s="10"/>
      <c r="X351" s="10"/>
      <c r="Y351" s="10"/>
      <c r="Z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48"/>
      <c r="W352" s="10"/>
      <c r="X352" s="10"/>
      <c r="Y352" s="10"/>
      <c r="Z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48"/>
      <c r="W353" s="10"/>
      <c r="X353" s="10"/>
      <c r="Y353" s="10"/>
      <c r="Z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48"/>
      <c r="W354" s="10"/>
      <c r="X354" s="10"/>
      <c r="Y354" s="10"/>
      <c r="Z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48"/>
      <c r="W355" s="10"/>
      <c r="X355" s="10"/>
      <c r="Y355" s="10"/>
      <c r="Z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48"/>
      <c r="W356" s="10"/>
      <c r="X356" s="10"/>
      <c r="Y356" s="10"/>
      <c r="Z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48"/>
      <c r="W357" s="10"/>
      <c r="X357" s="10"/>
      <c r="Y357" s="10"/>
      <c r="Z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48"/>
      <c r="W358" s="10"/>
      <c r="X358" s="10"/>
      <c r="Y358" s="10"/>
      <c r="Z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48"/>
      <c r="W359" s="10"/>
      <c r="X359" s="10"/>
      <c r="Y359" s="10"/>
      <c r="Z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48"/>
      <c r="W360" s="10"/>
      <c r="X360" s="10"/>
      <c r="Y360" s="10"/>
      <c r="Z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48"/>
      <c r="W361" s="10"/>
      <c r="X361" s="10"/>
      <c r="Y361" s="10"/>
      <c r="Z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48"/>
      <c r="W362" s="10"/>
      <c r="X362" s="10"/>
      <c r="Y362" s="10"/>
      <c r="Z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48"/>
      <c r="W363" s="10"/>
      <c r="X363" s="10"/>
      <c r="Y363" s="10"/>
      <c r="Z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48"/>
      <c r="W364" s="10"/>
      <c r="X364" s="10"/>
      <c r="Y364" s="10"/>
      <c r="Z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48"/>
      <c r="W365" s="10"/>
      <c r="X365" s="10"/>
      <c r="Y365" s="10"/>
      <c r="Z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48"/>
      <c r="W366" s="10"/>
      <c r="X366" s="10"/>
      <c r="Y366" s="10"/>
      <c r="Z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48"/>
      <c r="W367" s="10"/>
      <c r="X367" s="10"/>
      <c r="Y367" s="10"/>
      <c r="Z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48"/>
      <c r="W368" s="10"/>
      <c r="X368" s="10"/>
      <c r="Y368" s="10"/>
      <c r="Z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48"/>
      <c r="W369" s="10"/>
      <c r="X369" s="10"/>
      <c r="Y369" s="10"/>
      <c r="Z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48"/>
      <c r="W370" s="10"/>
      <c r="X370" s="10"/>
      <c r="Y370" s="10"/>
      <c r="Z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48"/>
      <c r="W371" s="10"/>
      <c r="X371" s="10"/>
      <c r="Y371" s="10"/>
      <c r="Z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48"/>
      <c r="W372" s="10"/>
      <c r="X372" s="10"/>
      <c r="Y372" s="10"/>
      <c r="Z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48"/>
      <c r="W373" s="10"/>
      <c r="X373" s="10"/>
      <c r="Y373" s="10"/>
      <c r="Z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48"/>
      <c r="W374" s="10"/>
      <c r="X374" s="10"/>
      <c r="Y374" s="10"/>
      <c r="Z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48"/>
      <c r="W375" s="10"/>
      <c r="X375" s="10"/>
      <c r="Y375" s="10"/>
      <c r="Z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48"/>
      <c r="W376" s="10"/>
      <c r="X376" s="10"/>
      <c r="Y376" s="10"/>
      <c r="Z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48"/>
      <c r="W377" s="10"/>
      <c r="X377" s="10"/>
      <c r="Y377" s="10"/>
      <c r="Z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48"/>
      <c r="W378" s="10"/>
      <c r="X378" s="10"/>
      <c r="Y378" s="10"/>
      <c r="Z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48"/>
      <c r="W379" s="10"/>
      <c r="X379" s="10"/>
      <c r="Y379" s="10"/>
      <c r="Z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48"/>
      <c r="W380" s="10"/>
      <c r="X380" s="10"/>
      <c r="Y380" s="10"/>
      <c r="Z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48"/>
      <c r="W381" s="10"/>
      <c r="X381" s="10"/>
      <c r="Y381" s="10"/>
      <c r="Z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48"/>
      <c r="W382" s="10"/>
      <c r="X382" s="10"/>
      <c r="Y382" s="10"/>
      <c r="Z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48"/>
      <c r="W383" s="10"/>
      <c r="X383" s="10"/>
      <c r="Y383" s="10"/>
      <c r="Z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48"/>
      <c r="W384" s="10"/>
      <c r="X384" s="10"/>
      <c r="Y384" s="10"/>
      <c r="Z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48"/>
      <c r="W385" s="10"/>
      <c r="X385" s="10"/>
      <c r="Y385" s="10"/>
      <c r="Z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48"/>
      <c r="W386" s="10"/>
      <c r="X386" s="10"/>
      <c r="Y386" s="10"/>
      <c r="Z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48"/>
      <c r="W387" s="10"/>
      <c r="X387" s="10"/>
      <c r="Y387" s="10"/>
      <c r="Z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48"/>
      <c r="W388" s="10"/>
      <c r="X388" s="10"/>
      <c r="Y388" s="10"/>
      <c r="Z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48"/>
      <c r="W389" s="10"/>
      <c r="X389" s="10"/>
      <c r="Y389" s="10"/>
      <c r="Z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48"/>
      <c r="W390" s="10"/>
      <c r="X390" s="10"/>
      <c r="Y390" s="10"/>
      <c r="Z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48"/>
      <c r="W391" s="10"/>
      <c r="X391" s="10"/>
      <c r="Y391" s="10"/>
      <c r="Z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48"/>
      <c r="W392" s="10"/>
      <c r="X392" s="10"/>
      <c r="Y392" s="10"/>
      <c r="Z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48"/>
      <c r="W393" s="10"/>
      <c r="X393" s="10"/>
      <c r="Y393" s="10"/>
      <c r="Z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48"/>
      <c r="W394" s="10"/>
      <c r="X394" s="10"/>
      <c r="Y394" s="10"/>
      <c r="Z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48"/>
      <c r="W395" s="10"/>
      <c r="X395" s="10"/>
      <c r="Y395" s="10"/>
      <c r="Z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48"/>
      <c r="W396" s="10"/>
      <c r="X396" s="10"/>
      <c r="Y396" s="10"/>
      <c r="Z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48"/>
      <c r="W397" s="10"/>
      <c r="X397" s="10"/>
      <c r="Y397" s="10"/>
      <c r="Z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48"/>
      <c r="W398" s="10"/>
      <c r="X398" s="10"/>
      <c r="Y398" s="10"/>
      <c r="Z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48"/>
      <c r="W399" s="10"/>
      <c r="X399" s="10"/>
      <c r="Y399" s="10"/>
      <c r="Z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48"/>
      <c r="W400" s="10"/>
      <c r="X400" s="10"/>
      <c r="Y400" s="10"/>
      <c r="Z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48"/>
      <c r="W401" s="10"/>
      <c r="X401" s="10"/>
      <c r="Y401" s="10"/>
      <c r="Z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48"/>
      <c r="W402" s="10"/>
      <c r="X402" s="10"/>
      <c r="Y402" s="10"/>
      <c r="Z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48"/>
      <c r="W403" s="10"/>
      <c r="X403" s="10"/>
      <c r="Y403" s="10"/>
      <c r="Z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48"/>
      <c r="W404" s="10"/>
      <c r="X404" s="10"/>
      <c r="Y404" s="10"/>
      <c r="Z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48"/>
      <c r="W405" s="10"/>
      <c r="X405" s="10"/>
      <c r="Y405" s="10"/>
      <c r="Z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48"/>
      <c r="W406" s="10"/>
      <c r="X406" s="10"/>
      <c r="Y406" s="10"/>
      <c r="Z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48"/>
      <c r="W407" s="10"/>
      <c r="X407" s="10"/>
      <c r="Y407" s="10"/>
      <c r="Z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48"/>
      <c r="W408" s="10"/>
      <c r="X408" s="10"/>
      <c r="Y408" s="10"/>
      <c r="Z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48"/>
      <c r="W409" s="10"/>
      <c r="X409" s="10"/>
      <c r="Y409" s="10"/>
      <c r="Z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48"/>
      <c r="W410" s="10"/>
      <c r="X410" s="10"/>
      <c r="Y410" s="10"/>
      <c r="Z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48"/>
      <c r="W411" s="10"/>
      <c r="X411" s="10"/>
      <c r="Y411" s="10"/>
      <c r="Z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48"/>
      <c r="W412" s="10"/>
      <c r="X412" s="10"/>
      <c r="Y412" s="10"/>
      <c r="Z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48"/>
      <c r="W413" s="10"/>
      <c r="X413" s="10"/>
      <c r="Y413" s="10"/>
      <c r="Z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48"/>
      <c r="W414" s="10"/>
      <c r="X414" s="10"/>
      <c r="Y414" s="10"/>
      <c r="Z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48"/>
      <c r="W415" s="10"/>
      <c r="X415" s="10"/>
      <c r="Y415" s="10"/>
      <c r="Z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48"/>
      <c r="W416" s="10"/>
      <c r="X416" s="10"/>
      <c r="Y416" s="10"/>
      <c r="Z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48"/>
      <c r="W417" s="10"/>
      <c r="X417" s="10"/>
      <c r="Y417" s="10"/>
      <c r="Z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48"/>
      <c r="W418" s="10"/>
      <c r="X418" s="10"/>
      <c r="Y418" s="10"/>
      <c r="Z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48"/>
      <c r="W419" s="10"/>
      <c r="X419" s="10"/>
      <c r="Y419" s="10"/>
      <c r="Z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48"/>
      <c r="W420" s="10"/>
      <c r="X420" s="10"/>
      <c r="Y420" s="10"/>
      <c r="Z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48"/>
      <c r="W421" s="10"/>
      <c r="X421" s="10"/>
      <c r="Y421" s="10"/>
      <c r="Z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48"/>
      <c r="W422" s="10"/>
      <c r="X422" s="10"/>
      <c r="Y422" s="10"/>
      <c r="Z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48"/>
      <c r="W423" s="10"/>
      <c r="X423" s="10"/>
      <c r="Y423" s="10"/>
      <c r="Z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48"/>
      <c r="W424" s="10"/>
      <c r="X424" s="10"/>
      <c r="Y424" s="10"/>
      <c r="Z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48"/>
      <c r="W425" s="10"/>
      <c r="X425" s="10"/>
      <c r="Y425" s="10"/>
      <c r="Z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48"/>
      <c r="W426" s="10"/>
      <c r="X426" s="10"/>
      <c r="Y426" s="10"/>
      <c r="Z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48"/>
      <c r="W427" s="10"/>
      <c r="X427" s="10"/>
      <c r="Y427" s="10"/>
      <c r="Z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48"/>
      <c r="W428" s="10"/>
      <c r="X428" s="10"/>
      <c r="Y428" s="10"/>
      <c r="Z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48"/>
      <c r="W429" s="10"/>
      <c r="X429" s="10"/>
      <c r="Y429" s="10"/>
      <c r="Z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48"/>
      <c r="W430" s="10"/>
      <c r="X430" s="10"/>
      <c r="Y430" s="10"/>
      <c r="Z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48"/>
      <c r="W431" s="10"/>
      <c r="X431" s="10"/>
      <c r="Y431" s="10"/>
      <c r="Z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48"/>
      <c r="W432" s="10"/>
      <c r="X432" s="10"/>
      <c r="Y432" s="10"/>
      <c r="Z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48"/>
      <c r="W433" s="10"/>
      <c r="X433" s="10"/>
      <c r="Y433" s="10"/>
      <c r="Z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48"/>
      <c r="W434" s="10"/>
      <c r="X434" s="10"/>
      <c r="Y434" s="10"/>
      <c r="Z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48"/>
      <c r="W435" s="10"/>
      <c r="X435" s="10"/>
      <c r="Y435" s="10"/>
      <c r="Z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48"/>
      <c r="W436" s="10"/>
      <c r="X436" s="10"/>
      <c r="Y436" s="10"/>
      <c r="Z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48"/>
      <c r="W437" s="10"/>
      <c r="X437" s="10"/>
      <c r="Y437" s="10"/>
      <c r="Z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48"/>
      <c r="W438" s="10"/>
      <c r="X438" s="10"/>
      <c r="Y438" s="10"/>
      <c r="Z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48"/>
      <c r="W439" s="10"/>
      <c r="X439" s="10"/>
      <c r="Y439" s="10"/>
      <c r="Z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48"/>
      <c r="W440" s="10"/>
      <c r="X440" s="10"/>
      <c r="Y440" s="10"/>
      <c r="Z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48"/>
      <c r="W441" s="10"/>
      <c r="X441" s="10"/>
      <c r="Y441" s="10"/>
      <c r="Z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48"/>
      <c r="W442" s="10"/>
      <c r="X442" s="10"/>
      <c r="Y442" s="10"/>
      <c r="Z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48"/>
      <c r="W443" s="10"/>
      <c r="X443" s="10"/>
      <c r="Y443" s="10"/>
      <c r="Z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48"/>
      <c r="W444" s="10"/>
      <c r="X444" s="10"/>
      <c r="Y444" s="10"/>
      <c r="Z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48"/>
      <c r="W445" s="10"/>
      <c r="X445" s="10"/>
      <c r="Y445" s="10"/>
      <c r="Z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48"/>
      <c r="W446" s="10"/>
      <c r="X446" s="10"/>
      <c r="Y446" s="10"/>
      <c r="Z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48"/>
      <c r="W447" s="10"/>
      <c r="X447" s="10"/>
      <c r="Y447" s="10"/>
      <c r="Z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48"/>
      <c r="W448" s="10"/>
      <c r="X448" s="10"/>
      <c r="Y448" s="10"/>
      <c r="Z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48"/>
      <c r="W449" s="10"/>
      <c r="X449" s="10"/>
      <c r="Y449" s="10"/>
      <c r="Z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48"/>
      <c r="W450" s="10"/>
      <c r="X450" s="10"/>
      <c r="Y450" s="10"/>
      <c r="Z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48"/>
      <c r="W451" s="10"/>
      <c r="X451" s="10"/>
      <c r="Y451" s="10"/>
      <c r="Z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48"/>
      <c r="W452" s="10"/>
      <c r="X452" s="10"/>
      <c r="Y452" s="10"/>
      <c r="Z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48"/>
      <c r="W453" s="10"/>
      <c r="X453" s="10"/>
      <c r="Y453" s="10"/>
      <c r="Z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48"/>
      <c r="W454" s="10"/>
      <c r="X454" s="10"/>
      <c r="Y454" s="10"/>
      <c r="Z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48"/>
      <c r="W455" s="10"/>
      <c r="X455" s="10"/>
      <c r="Y455" s="10"/>
      <c r="Z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48"/>
      <c r="W456" s="10"/>
      <c r="X456" s="10"/>
      <c r="Y456" s="10"/>
      <c r="Z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48"/>
      <c r="W457" s="10"/>
      <c r="X457" s="10"/>
      <c r="Y457" s="10"/>
      <c r="Z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48"/>
      <c r="W458" s="10"/>
      <c r="X458" s="10"/>
      <c r="Y458" s="10"/>
      <c r="Z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48"/>
      <c r="W459" s="10"/>
      <c r="X459" s="10"/>
      <c r="Y459" s="10"/>
      <c r="Z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48"/>
      <c r="W460" s="10"/>
      <c r="X460" s="10"/>
      <c r="Y460" s="10"/>
      <c r="Z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48"/>
      <c r="W461" s="10"/>
      <c r="X461" s="10"/>
      <c r="Y461" s="10"/>
      <c r="Z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48"/>
      <c r="W462" s="10"/>
      <c r="X462" s="10"/>
      <c r="Y462" s="10"/>
      <c r="Z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48"/>
      <c r="W463" s="10"/>
      <c r="X463" s="10"/>
      <c r="Y463" s="10"/>
      <c r="Z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48"/>
      <c r="W464" s="10"/>
      <c r="X464" s="10"/>
      <c r="Y464" s="10"/>
      <c r="Z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48"/>
      <c r="W465" s="10"/>
      <c r="X465" s="10"/>
      <c r="Y465" s="10"/>
      <c r="Z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48"/>
      <c r="W466" s="10"/>
      <c r="X466" s="10"/>
      <c r="Y466" s="10"/>
      <c r="Z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48"/>
      <c r="W467" s="10"/>
      <c r="X467" s="10"/>
      <c r="Y467" s="10"/>
      <c r="Z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48"/>
      <c r="W468" s="10"/>
      <c r="X468" s="10"/>
      <c r="Y468" s="10"/>
      <c r="Z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48"/>
      <c r="W469" s="10"/>
      <c r="X469" s="10"/>
      <c r="Y469" s="10"/>
      <c r="Z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48"/>
      <c r="W470" s="10"/>
      <c r="X470" s="10"/>
      <c r="Y470" s="10"/>
      <c r="Z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48"/>
      <c r="W471" s="10"/>
      <c r="X471" s="10"/>
      <c r="Y471" s="10"/>
      <c r="Z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48"/>
      <c r="W472" s="10"/>
      <c r="X472" s="10"/>
      <c r="Y472" s="10"/>
      <c r="Z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48"/>
      <c r="W473" s="10"/>
      <c r="X473" s="10"/>
      <c r="Y473" s="10"/>
      <c r="Z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48"/>
      <c r="W474" s="10"/>
      <c r="X474" s="10"/>
      <c r="Y474" s="10"/>
      <c r="Z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48"/>
      <c r="W475" s="10"/>
      <c r="X475" s="10"/>
      <c r="Y475" s="10"/>
      <c r="Z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48"/>
      <c r="W476" s="10"/>
      <c r="X476" s="10"/>
      <c r="Y476" s="10"/>
      <c r="Z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48"/>
      <c r="W477" s="10"/>
      <c r="X477" s="10"/>
      <c r="Y477" s="10"/>
      <c r="Z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48"/>
      <c r="W478" s="10"/>
      <c r="X478" s="10"/>
      <c r="Y478" s="10"/>
      <c r="Z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48"/>
      <c r="W479" s="10"/>
      <c r="X479" s="10"/>
      <c r="Y479" s="10"/>
      <c r="Z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48"/>
      <c r="W480" s="10"/>
      <c r="X480" s="10"/>
      <c r="Y480" s="10"/>
      <c r="Z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48"/>
      <c r="W481" s="10"/>
      <c r="X481" s="10"/>
      <c r="Y481" s="10"/>
      <c r="Z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48"/>
      <c r="W482" s="10"/>
      <c r="X482" s="10"/>
      <c r="Y482" s="10"/>
      <c r="Z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48"/>
      <c r="W483" s="10"/>
      <c r="X483" s="10"/>
      <c r="Y483" s="10"/>
      <c r="Z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48"/>
      <c r="W484" s="10"/>
      <c r="X484" s="10"/>
      <c r="Y484" s="10"/>
      <c r="Z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48"/>
      <c r="W485" s="10"/>
      <c r="X485" s="10"/>
      <c r="Y485" s="10"/>
      <c r="Z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48"/>
      <c r="W486" s="10"/>
      <c r="X486" s="10"/>
      <c r="Y486" s="10"/>
      <c r="Z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48"/>
      <c r="W487" s="10"/>
      <c r="X487" s="10"/>
      <c r="Y487" s="10"/>
      <c r="Z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48"/>
      <c r="W488" s="10"/>
      <c r="X488" s="10"/>
      <c r="Y488" s="10"/>
      <c r="Z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48"/>
      <c r="W489" s="10"/>
      <c r="X489" s="10"/>
      <c r="Y489" s="10"/>
      <c r="Z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48"/>
      <c r="W490" s="10"/>
      <c r="X490" s="10"/>
      <c r="Y490" s="10"/>
      <c r="Z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48"/>
      <c r="W491" s="10"/>
      <c r="X491" s="10"/>
      <c r="Y491" s="10"/>
      <c r="Z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48"/>
      <c r="W492" s="10"/>
      <c r="X492" s="10"/>
      <c r="Y492" s="10"/>
      <c r="Z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48"/>
      <c r="W493" s="10"/>
      <c r="X493" s="10"/>
      <c r="Y493" s="10"/>
      <c r="Z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48"/>
      <c r="W494" s="10"/>
      <c r="X494" s="10"/>
      <c r="Y494" s="10"/>
      <c r="Z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48"/>
      <c r="W495" s="10"/>
      <c r="X495" s="10"/>
      <c r="Y495" s="10"/>
      <c r="Z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48"/>
      <c r="W496" s="10"/>
      <c r="X496" s="10"/>
      <c r="Y496" s="10"/>
      <c r="Z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48"/>
      <c r="W497" s="10"/>
      <c r="X497" s="10"/>
      <c r="Y497" s="10"/>
      <c r="Z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48"/>
      <c r="W498" s="10"/>
      <c r="X498" s="10"/>
      <c r="Y498" s="10"/>
      <c r="Z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48"/>
      <c r="W499" s="10"/>
      <c r="X499" s="10"/>
      <c r="Y499" s="10"/>
      <c r="Z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48"/>
      <c r="W500" s="10"/>
      <c r="X500" s="10"/>
      <c r="Y500" s="10"/>
      <c r="Z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48"/>
      <c r="W501" s="10"/>
      <c r="X501" s="10"/>
      <c r="Y501" s="10"/>
      <c r="Z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48"/>
      <c r="W502" s="10"/>
      <c r="X502" s="10"/>
      <c r="Y502" s="10"/>
      <c r="Z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48"/>
      <c r="W503" s="10"/>
      <c r="X503" s="10"/>
      <c r="Y503" s="10"/>
      <c r="Z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48"/>
      <c r="W504" s="10"/>
      <c r="X504" s="10"/>
      <c r="Y504" s="10"/>
      <c r="Z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48"/>
      <c r="W505" s="10"/>
      <c r="X505" s="10"/>
      <c r="Y505" s="10"/>
      <c r="Z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48"/>
      <c r="W506" s="10"/>
      <c r="X506" s="10"/>
      <c r="Y506" s="10"/>
      <c r="Z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48"/>
      <c r="W507" s="10"/>
      <c r="X507" s="10"/>
      <c r="Y507" s="10"/>
      <c r="Z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48"/>
      <c r="W508" s="10"/>
      <c r="X508" s="10"/>
      <c r="Y508" s="10"/>
      <c r="Z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48"/>
      <c r="W509" s="10"/>
      <c r="X509" s="10"/>
      <c r="Y509" s="10"/>
      <c r="Z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48"/>
      <c r="W510" s="10"/>
      <c r="X510" s="10"/>
      <c r="Y510" s="10"/>
      <c r="Z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48"/>
      <c r="W511" s="10"/>
      <c r="X511" s="10"/>
      <c r="Y511" s="10"/>
      <c r="Z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48"/>
      <c r="W512" s="10"/>
      <c r="X512" s="10"/>
      <c r="Y512" s="10"/>
      <c r="Z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48"/>
      <c r="W513" s="10"/>
      <c r="X513" s="10"/>
      <c r="Y513" s="10"/>
      <c r="Z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48"/>
      <c r="W514" s="10"/>
      <c r="X514" s="10"/>
      <c r="Y514" s="10"/>
      <c r="Z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48"/>
      <c r="W515" s="10"/>
      <c r="X515" s="10"/>
      <c r="Y515" s="10"/>
      <c r="Z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48"/>
      <c r="W516" s="10"/>
      <c r="X516" s="10"/>
      <c r="Y516" s="10"/>
      <c r="Z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48"/>
      <c r="W517" s="10"/>
      <c r="X517" s="10"/>
      <c r="Y517" s="10"/>
      <c r="Z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48"/>
      <c r="W518" s="10"/>
      <c r="X518" s="10"/>
      <c r="Y518" s="10"/>
      <c r="Z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48"/>
      <c r="W519" s="10"/>
      <c r="X519" s="10"/>
      <c r="Y519" s="10"/>
      <c r="Z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48"/>
      <c r="W520" s="10"/>
      <c r="X520" s="10"/>
      <c r="Y520" s="10"/>
      <c r="Z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48"/>
      <c r="W521" s="10"/>
      <c r="X521" s="10"/>
      <c r="Y521" s="10"/>
      <c r="Z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48"/>
      <c r="W522" s="10"/>
      <c r="X522" s="10"/>
      <c r="Y522" s="10"/>
      <c r="Z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48"/>
      <c r="W523" s="10"/>
      <c r="X523" s="10"/>
      <c r="Y523" s="10"/>
      <c r="Z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48"/>
      <c r="W524" s="10"/>
      <c r="X524" s="10"/>
      <c r="Y524" s="10"/>
      <c r="Z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48"/>
      <c r="W525" s="10"/>
      <c r="X525" s="10"/>
      <c r="Y525" s="10"/>
      <c r="Z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48"/>
      <c r="W526" s="10"/>
      <c r="X526" s="10"/>
      <c r="Y526" s="10"/>
      <c r="Z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48"/>
      <c r="W527" s="10"/>
      <c r="X527" s="10"/>
      <c r="Y527" s="10"/>
      <c r="Z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48"/>
      <c r="W528" s="10"/>
      <c r="X528" s="10"/>
      <c r="Y528" s="10"/>
      <c r="Z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48"/>
      <c r="W529" s="10"/>
      <c r="X529" s="10"/>
      <c r="Y529" s="10"/>
      <c r="Z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48"/>
      <c r="W530" s="10"/>
      <c r="X530" s="10"/>
      <c r="Y530" s="10"/>
      <c r="Z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48"/>
      <c r="W531" s="10"/>
      <c r="X531" s="10"/>
      <c r="Y531" s="10"/>
      <c r="Z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48"/>
      <c r="W532" s="10"/>
      <c r="X532" s="10"/>
      <c r="Y532" s="10"/>
      <c r="Z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48"/>
      <c r="W533" s="10"/>
      <c r="X533" s="10"/>
      <c r="Y533" s="10"/>
      <c r="Z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48"/>
      <c r="W534" s="10"/>
      <c r="X534" s="10"/>
      <c r="Y534" s="10"/>
      <c r="Z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48"/>
      <c r="W535" s="10"/>
      <c r="X535" s="10"/>
      <c r="Y535" s="10"/>
      <c r="Z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48"/>
      <c r="W536" s="10"/>
      <c r="X536" s="10"/>
      <c r="Y536" s="10"/>
      <c r="Z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48"/>
      <c r="W537" s="10"/>
      <c r="X537" s="10"/>
      <c r="Y537" s="10"/>
      <c r="Z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48"/>
      <c r="W538" s="10"/>
      <c r="X538" s="10"/>
      <c r="Y538" s="10"/>
      <c r="Z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48"/>
      <c r="W539" s="10"/>
      <c r="X539" s="10"/>
      <c r="Y539" s="10"/>
      <c r="Z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48"/>
      <c r="W540" s="10"/>
      <c r="X540" s="10"/>
      <c r="Y540" s="10"/>
      <c r="Z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48"/>
      <c r="W541" s="10"/>
      <c r="X541" s="10"/>
      <c r="Y541" s="10"/>
      <c r="Z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48"/>
      <c r="W542" s="10"/>
      <c r="X542" s="10"/>
      <c r="Y542" s="10"/>
      <c r="Z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48"/>
      <c r="W543" s="10"/>
      <c r="X543" s="10"/>
      <c r="Y543" s="10"/>
      <c r="Z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48"/>
      <c r="W544" s="10"/>
      <c r="X544" s="10"/>
      <c r="Y544" s="10"/>
      <c r="Z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48"/>
      <c r="W545" s="10"/>
      <c r="X545" s="10"/>
      <c r="Y545" s="10"/>
      <c r="Z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48"/>
      <c r="W546" s="10"/>
      <c r="X546" s="10"/>
      <c r="Y546" s="10"/>
      <c r="Z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48"/>
      <c r="W547" s="10"/>
      <c r="X547" s="10"/>
      <c r="Y547" s="10"/>
      <c r="Z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48"/>
      <c r="W548" s="10"/>
      <c r="X548" s="10"/>
      <c r="Y548" s="10"/>
      <c r="Z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48"/>
      <c r="W549" s="10"/>
      <c r="X549" s="10"/>
      <c r="Y549" s="10"/>
      <c r="Z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48"/>
      <c r="W550" s="10"/>
      <c r="X550" s="10"/>
      <c r="Y550" s="10"/>
      <c r="Z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48"/>
      <c r="W551" s="10"/>
      <c r="X551" s="10"/>
      <c r="Y551" s="10"/>
      <c r="Z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48"/>
      <c r="W552" s="10"/>
      <c r="X552" s="10"/>
      <c r="Y552" s="10"/>
      <c r="Z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48"/>
      <c r="W553" s="10"/>
      <c r="X553" s="10"/>
      <c r="Y553" s="10"/>
      <c r="Z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48"/>
      <c r="W554" s="10"/>
      <c r="X554" s="10"/>
      <c r="Y554" s="10"/>
      <c r="Z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48"/>
      <c r="W555" s="10"/>
      <c r="X555" s="10"/>
      <c r="Y555" s="10"/>
      <c r="Z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48"/>
      <c r="W556" s="10"/>
      <c r="X556" s="10"/>
      <c r="Y556" s="10"/>
      <c r="Z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48"/>
      <c r="W557" s="10"/>
      <c r="X557" s="10"/>
      <c r="Y557" s="10"/>
      <c r="Z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48"/>
      <c r="W558" s="10"/>
      <c r="X558" s="10"/>
      <c r="Y558" s="10"/>
      <c r="Z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48"/>
      <c r="W559" s="10"/>
      <c r="X559" s="10"/>
      <c r="Y559" s="10"/>
      <c r="Z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48"/>
      <c r="W560" s="10"/>
      <c r="X560" s="10"/>
      <c r="Y560" s="10"/>
      <c r="Z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48"/>
      <c r="W561" s="10"/>
      <c r="X561" s="10"/>
      <c r="Y561" s="10"/>
      <c r="Z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48"/>
      <c r="W562" s="10"/>
      <c r="X562" s="10"/>
      <c r="Y562" s="10"/>
      <c r="Z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48"/>
      <c r="W563" s="10"/>
      <c r="X563" s="10"/>
      <c r="Y563" s="10"/>
      <c r="Z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48"/>
      <c r="W564" s="10"/>
      <c r="X564" s="10"/>
      <c r="Y564" s="10"/>
      <c r="Z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48"/>
      <c r="W565" s="10"/>
      <c r="X565" s="10"/>
      <c r="Y565" s="10"/>
      <c r="Z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48"/>
      <c r="W566" s="10"/>
      <c r="X566" s="10"/>
      <c r="Y566" s="10"/>
      <c r="Z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48"/>
      <c r="W567" s="10"/>
      <c r="X567" s="10"/>
      <c r="Y567" s="10"/>
      <c r="Z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48"/>
      <c r="W568" s="10"/>
      <c r="X568" s="10"/>
      <c r="Y568" s="10"/>
      <c r="Z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48"/>
      <c r="W569" s="10"/>
      <c r="X569" s="10"/>
      <c r="Y569" s="10"/>
      <c r="Z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48"/>
      <c r="W570" s="10"/>
      <c r="X570" s="10"/>
      <c r="Y570" s="10"/>
      <c r="Z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48"/>
      <c r="W571" s="10"/>
      <c r="X571" s="10"/>
      <c r="Y571" s="10"/>
      <c r="Z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48"/>
      <c r="W572" s="10"/>
      <c r="X572" s="10"/>
      <c r="Y572" s="10"/>
      <c r="Z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48"/>
      <c r="W573" s="10"/>
      <c r="X573" s="10"/>
      <c r="Y573" s="10"/>
      <c r="Z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48"/>
      <c r="W574" s="10"/>
      <c r="X574" s="10"/>
      <c r="Y574" s="10"/>
      <c r="Z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48"/>
      <c r="W575" s="10"/>
      <c r="X575" s="10"/>
      <c r="Y575" s="10"/>
      <c r="Z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48"/>
      <c r="W576" s="10"/>
      <c r="X576" s="10"/>
      <c r="Y576" s="10"/>
      <c r="Z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48"/>
      <c r="W577" s="10"/>
      <c r="X577" s="10"/>
      <c r="Y577" s="10"/>
      <c r="Z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48"/>
      <c r="W578" s="10"/>
      <c r="X578" s="10"/>
      <c r="Y578" s="10"/>
      <c r="Z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48"/>
      <c r="W579" s="10"/>
      <c r="X579" s="10"/>
      <c r="Y579" s="10"/>
      <c r="Z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48"/>
      <c r="W580" s="10"/>
      <c r="X580" s="10"/>
      <c r="Y580" s="10"/>
      <c r="Z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48"/>
      <c r="W581" s="10"/>
      <c r="X581" s="10"/>
      <c r="Y581" s="10"/>
      <c r="Z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48"/>
      <c r="W582" s="10"/>
      <c r="X582" s="10"/>
      <c r="Y582" s="10"/>
      <c r="Z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48"/>
      <c r="W583" s="10"/>
      <c r="X583" s="10"/>
      <c r="Y583" s="10"/>
      <c r="Z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48"/>
      <c r="W584" s="10"/>
      <c r="X584" s="10"/>
      <c r="Y584" s="10"/>
      <c r="Z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48"/>
      <c r="W585" s="10"/>
      <c r="X585" s="10"/>
      <c r="Y585" s="10"/>
      <c r="Z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48"/>
      <c r="W586" s="10"/>
      <c r="X586" s="10"/>
      <c r="Y586" s="10"/>
      <c r="Z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48"/>
      <c r="W587" s="10"/>
      <c r="X587" s="10"/>
      <c r="Y587" s="10"/>
      <c r="Z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48"/>
      <c r="W588" s="10"/>
      <c r="X588" s="10"/>
      <c r="Y588" s="10"/>
      <c r="Z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48"/>
      <c r="W589" s="10"/>
      <c r="X589" s="10"/>
      <c r="Y589" s="10"/>
      <c r="Z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48"/>
      <c r="W590" s="10"/>
      <c r="X590" s="10"/>
      <c r="Y590" s="10"/>
      <c r="Z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48"/>
      <c r="W591" s="10"/>
      <c r="X591" s="10"/>
      <c r="Y591" s="10"/>
      <c r="Z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48"/>
      <c r="W592" s="10"/>
      <c r="X592" s="10"/>
      <c r="Y592" s="10"/>
      <c r="Z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48"/>
      <c r="W593" s="10"/>
      <c r="X593" s="10"/>
      <c r="Y593" s="10"/>
      <c r="Z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48"/>
      <c r="W594" s="10"/>
      <c r="X594" s="10"/>
      <c r="Y594" s="10"/>
      <c r="Z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48"/>
      <c r="W595" s="10"/>
      <c r="X595" s="10"/>
      <c r="Y595" s="10"/>
      <c r="Z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48"/>
      <c r="W596" s="10"/>
      <c r="X596" s="10"/>
      <c r="Y596" s="10"/>
      <c r="Z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48"/>
      <c r="W597" s="10"/>
      <c r="X597" s="10"/>
      <c r="Y597" s="10"/>
      <c r="Z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48"/>
      <c r="W598" s="10"/>
      <c r="X598" s="10"/>
      <c r="Y598" s="10"/>
      <c r="Z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48"/>
      <c r="W599" s="10"/>
      <c r="X599" s="10"/>
      <c r="Y599" s="10"/>
      <c r="Z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48"/>
      <c r="W600" s="10"/>
      <c r="X600" s="10"/>
      <c r="Y600" s="10"/>
      <c r="Z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48"/>
      <c r="W601" s="10"/>
      <c r="X601" s="10"/>
      <c r="Y601" s="10"/>
      <c r="Z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48"/>
      <c r="W602" s="10"/>
      <c r="X602" s="10"/>
      <c r="Y602" s="10"/>
      <c r="Z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48"/>
      <c r="W603" s="10"/>
      <c r="X603" s="10"/>
      <c r="Y603" s="10"/>
      <c r="Z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48"/>
      <c r="W604" s="10"/>
      <c r="X604" s="10"/>
      <c r="Y604" s="10"/>
      <c r="Z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48"/>
      <c r="W605" s="10"/>
      <c r="X605" s="10"/>
      <c r="Y605" s="10"/>
      <c r="Z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48"/>
      <c r="W606" s="10"/>
      <c r="X606" s="10"/>
      <c r="Y606" s="10"/>
      <c r="Z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48"/>
      <c r="W607" s="10"/>
      <c r="X607" s="10"/>
      <c r="Y607" s="10"/>
      <c r="Z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48"/>
      <c r="W608" s="10"/>
      <c r="X608" s="10"/>
      <c r="Y608" s="10"/>
      <c r="Z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48"/>
      <c r="W609" s="10"/>
      <c r="X609" s="10"/>
      <c r="Y609" s="10"/>
      <c r="Z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48"/>
      <c r="W610" s="10"/>
      <c r="X610" s="10"/>
      <c r="Y610" s="10"/>
      <c r="Z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48"/>
      <c r="W611" s="10"/>
      <c r="X611" s="10"/>
      <c r="Y611" s="10"/>
      <c r="Z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48"/>
      <c r="W612" s="10"/>
      <c r="X612" s="10"/>
      <c r="Y612" s="10"/>
      <c r="Z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48"/>
      <c r="W613" s="10"/>
      <c r="X613" s="10"/>
      <c r="Y613" s="10"/>
      <c r="Z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48"/>
      <c r="W614" s="10"/>
      <c r="X614" s="10"/>
      <c r="Y614" s="10"/>
      <c r="Z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48"/>
      <c r="W615" s="10"/>
      <c r="X615" s="10"/>
      <c r="Y615" s="10"/>
      <c r="Z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48"/>
      <c r="W616" s="10"/>
      <c r="X616" s="10"/>
      <c r="Y616" s="10"/>
      <c r="Z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48"/>
      <c r="W617" s="10"/>
      <c r="X617" s="10"/>
      <c r="Y617" s="10"/>
      <c r="Z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48"/>
      <c r="W618" s="10"/>
      <c r="X618" s="10"/>
      <c r="Y618" s="10"/>
      <c r="Z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48"/>
      <c r="W619" s="10"/>
      <c r="X619" s="10"/>
      <c r="Y619" s="10"/>
      <c r="Z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48"/>
      <c r="W620" s="10"/>
      <c r="X620" s="10"/>
      <c r="Y620" s="10"/>
      <c r="Z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48"/>
      <c r="W621" s="10"/>
      <c r="X621" s="10"/>
      <c r="Y621" s="10"/>
      <c r="Z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48"/>
      <c r="W622" s="10"/>
      <c r="X622" s="10"/>
      <c r="Y622" s="10"/>
      <c r="Z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48"/>
      <c r="W623" s="10"/>
      <c r="X623" s="10"/>
      <c r="Y623" s="10"/>
      <c r="Z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48"/>
      <c r="W624" s="10"/>
      <c r="X624" s="10"/>
      <c r="Y624" s="10"/>
      <c r="Z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48"/>
      <c r="W625" s="10"/>
      <c r="X625" s="10"/>
      <c r="Y625" s="10"/>
      <c r="Z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48"/>
      <c r="W626" s="10"/>
      <c r="X626" s="10"/>
      <c r="Y626" s="10"/>
      <c r="Z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48"/>
      <c r="W627" s="10"/>
      <c r="X627" s="10"/>
      <c r="Y627" s="10"/>
      <c r="Z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48"/>
      <c r="W628" s="10"/>
      <c r="X628" s="10"/>
      <c r="Y628" s="10"/>
      <c r="Z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48"/>
      <c r="W629" s="10"/>
      <c r="X629" s="10"/>
      <c r="Y629" s="10"/>
      <c r="Z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48"/>
      <c r="W630" s="10"/>
      <c r="X630" s="10"/>
      <c r="Y630" s="10"/>
      <c r="Z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48"/>
      <c r="W631" s="10"/>
      <c r="X631" s="10"/>
      <c r="Y631" s="10"/>
      <c r="Z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48"/>
      <c r="W632" s="10"/>
      <c r="X632" s="10"/>
      <c r="Y632" s="10"/>
      <c r="Z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48"/>
      <c r="W633" s="10"/>
      <c r="X633" s="10"/>
      <c r="Y633" s="10"/>
      <c r="Z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48"/>
      <c r="W634" s="10"/>
      <c r="X634" s="10"/>
      <c r="Y634" s="10"/>
      <c r="Z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48"/>
      <c r="W635" s="10"/>
      <c r="X635" s="10"/>
      <c r="Y635" s="10"/>
      <c r="Z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48"/>
      <c r="W636" s="10"/>
      <c r="X636" s="10"/>
      <c r="Y636" s="10"/>
      <c r="Z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48"/>
      <c r="W637" s="10"/>
      <c r="X637" s="10"/>
      <c r="Y637" s="10"/>
      <c r="Z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48"/>
      <c r="W638" s="10"/>
      <c r="X638" s="10"/>
      <c r="Y638" s="10"/>
      <c r="Z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48"/>
      <c r="W639" s="10"/>
      <c r="X639" s="10"/>
      <c r="Y639" s="10"/>
      <c r="Z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48"/>
      <c r="W640" s="10"/>
      <c r="X640" s="10"/>
      <c r="Y640" s="10"/>
      <c r="Z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48"/>
      <c r="W641" s="10"/>
      <c r="X641" s="10"/>
      <c r="Y641" s="10"/>
      <c r="Z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48"/>
      <c r="W642" s="10"/>
      <c r="X642" s="10"/>
      <c r="Y642" s="10"/>
      <c r="Z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48"/>
      <c r="W643" s="10"/>
      <c r="X643" s="10"/>
      <c r="Y643" s="10"/>
      <c r="Z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48"/>
      <c r="W644" s="10"/>
      <c r="X644" s="10"/>
      <c r="Y644" s="10"/>
      <c r="Z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48"/>
      <c r="W645" s="10"/>
      <c r="X645" s="10"/>
      <c r="Y645" s="10"/>
      <c r="Z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48"/>
      <c r="W646" s="10"/>
      <c r="X646" s="10"/>
      <c r="Y646" s="10"/>
      <c r="Z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48"/>
      <c r="W647" s="10"/>
      <c r="X647" s="10"/>
      <c r="Y647" s="10"/>
      <c r="Z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48"/>
      <c r="W648" s="10"/>
      <c r="X648" s="10"/>
      <c r="Y648" s="10"/>
      <c r="Z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48"/>
      <c r="W649" s="10"/>
      <c r="X649" s="10"/>
      <c r="Y649" s="10"/>
      <c r="Z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48"/>
      <c r="W650" s="10"/>
      <c r="X650" s="10"/>
      <c r="Y650" s="10"/>
      <c r="Z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48"/>
      <c r="W651" s="10"/>
      <c r="X651" s="10"/>
      <c r="Y651" s="10"/>
      <c r="Z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48"/>
      <c r="W652" s="10"/>
      <c r="X652" s="10"/>
      <c r="Y652" s="10"/>
      <c r="Z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48"/>
      <c r="W653" s="10"/>
      <c r="X653" s="10"/>
      <c r="Y653" s="10"/>
      <c r="Z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48"/>
      <c r="W654" s="10"/>
      <c r="X654" s="10"/>
      <c r="Y654" s="10"/>
      <c r="Z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48"/>
      <c r="W655" s="10"/>
      <c r="X655" s="10"/>
      <c r="Y655" s="10"/>
      <c r="Z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48"/>
      <c r="W656" s="10"/>
      <c r="X656" s="10"/>
      <c r="Y656" s="10"/>
      <c r="Z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48"/>
      <c r="W657" s="10"/>
      <c r="X657" s="10"/>
      <c r="Y657" s="10"/>
      <c r="Z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48"/>
      <c r="W658" s="10"/>
      <c r="X658" s="10"/>
      <c r="Y658" s="10"/>
      <c r="Z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48"/>
      <c r="W659" s="10"/>
      <c r="X659" s="10"/>
      <c r="Y659" s="10"/>
      <c r="Z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48"/>
      <c r="W660" s="10"/>
      <c r="X660" s="10"/>
      <c r="Y660" s="10"/>
      <c r="Z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48"/>
      <c r="W661" s="10"/>
      <c r="X661" s="10"/>
      <c r="Y661" s="10"/>
      <c r="Z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48"/>
      <c r="W662" s="10"/>
      <c r="X662" s="10"/>
      <c r="Y662" s="10"/>
      <c r="Z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48"/>
      <c r="W663" s="10"/>
      <c r="X663" s="10"/>
      <c r="Y663" s="10"/>
      <c r="Z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48"/>
      <c r="W664" s="10"/>
      <c r="X664" s="10"/>
      <c r="Y664" s="10"/>
      <c r="Z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48"/>
      <c r="W665" s="10"/>
      <c r="X665" s="10"/>
      <c r="Y665" s="10"/>
      <c r="Z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48"/>
      <c r="W666" s="10"/>
      <c r="X666" s="10"/>
      <c r="Y666" s="10"/>
      <c r="Z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48"/>
      <c r="W667" s="10"/>
      <c r="X667" s="10"/>
      <c r="Y667" s="10"/>
      <c r="Z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48"/>
      <c r="W668" s="10"/>
      <c r="X668" s="10"/>
      <c r="Y668" s="10"/>
      <c r="Z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48"/>
      <c r="W669" s="10"/>
      <c r="X669" s="10"/>
      <c r="Y669" s="10"/>
      <c r="Z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48"/>
      <c r="W670" s="10"/>
      <c r="X670" s="10"/>
      <c r="Y670" s="10"/>
      <c r="Z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48"/>
      <c r="W671" s="10"/>
      <c r="X671" s="10"/>
      <c r="Y671" s="10"/>
      <c r="Z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48"/>
      <c r="W672" s="10"/>
      <c r="X672" s="10"/>
      <c r="Y672" s="10"/>
      <c r="Z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48"/>
      <c r="W673" s="10"/>
      <c r="X673" s="10"/>
      <c r="Y673" s="10"/>
      <c r="Z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48"/>
      <c r="W674" s="10"/>
      <c r="X674" s="10"/>
      <c r="Y674" s="10"/>
      <c r="Z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48"/>
      <c r="W675" s="10"/>
      <c r="X675" s="10"/>
      <c r="Y675" s="10"/>
      <c r="Z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48"/>
      <c r="W676" s="10"/>
      <c r="X676" s="10"/>
      <c r="Y676" s="10"/>
      <c r="Z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48"/>
      <c r="W677" s="10"/>
      <c r="X677" s="10"/>
      <c r="Y677" s="10"/>
      <c r="Z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48"/>
      <c r="W678" s="10"/>
      <c r="X678" s="10"/>
      <c r="Y678" s="10"/>
      <c r="Z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48"/>
      <c r="W679" s="10"/>
      <c r="X679" s="10"/>
      <c r="Y679" s="10"/>
      <c r="Z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48"/>
      <c r="W680" s="10"/>
      <c r="X680" s="10"/>
      <c r="Y680" s="10"/>
      <c r="Z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48"/>
      <c r="W681" s="10"/>
      <c r="X681" s="10"/>
      <c r="Y681" s="10"/>
      <c r="Z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48"/>
      <c r="W682" s="10"/>
      <c r="X682" s="10"/>
      <c r="Y682" s="10"/>
      <c r="Z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48"/>
      <c r="W683" s="10"/>
      <c r="X683" s="10"/>
      <c r="Y683" s="10"/>
      <c r="Z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48"/>
      <c r="W684" s="10"/>
      <c r="X684" s="10"/>
      <c r="Y684" s="10"/>
      <c r="Z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48"/>
      <c r="W685" s="10"/>
      <c r="X685" s="10"/>
      <c r="Y685" s="10"/>
      <c r="Z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48"/>
      <c r="W686" s="10"/>
      <c r="X686" s="10"/>
      <c r="Y686" s="10"/>
      <c r="Z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48"/>
      <c r="W687" s="10"/>
      <c r="X687" s="10"/>
      <c r="Y687" s="10"/>
      <c r="Z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48"/>
      <c r="W688" s="10"/>
      <c r="X688" s="10"/>
      <c r="Y688" s="10"/>
      <c r="Z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48"/>
      <c r="W689" s="10"/>
      <c r="X689" s="10"/>
      <c r="Y689" s="10"/>
      <c r="Z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48"/>
      <c r="W690" s="10"/>
      <c r="X690" s="10"/>
      <c r="Y690" s="10"/>
      <c r="Z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48"/>
      <c r="W691" s="10"/>
      <c r="X691" s="10"/>
      <c r="Y691" s="10"/>
      <c r="Z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48"/>
      <c r="W692" s="10"/>
      <c r="X692" s="10"/>
      <c r="Y692" s="10"/>
      <c r="Z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48"/>
      <c r="W693" s="10"/>
      <c r="X693" s="10"/>
      <c r="Y693" s="10"/>
      <c r="Z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48"/>
      <c r="W694" s="10"/>
      <c r="X694" s="10"/>
      <c r="Y694" s="10"/>
      <c r="Z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48"/>
      <c r="W695" s="10"/>
      <c r="X695" s="10"/>
      <c r="Y695" s="10"/>
      <c r="Z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48"/>
      <c r="W696" s="10"/>
      <c r="X696" s="10"/>
      <c r="Y696" s="10"/>
      <c r="Z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48"/>
      <c r="W697" s="10"/>
      <c r="X697" s="10"/>
      <c r="Y697" s="10"/>
      <c r="Z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48"/>
      <c r="W698" s="10"/>
      <c r="X698" s="10"/>
      <c r="Y698" s="10"/>
      <c r="Z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48"/>
      <c r="W699" s="10"/>
      <c r="X699" s="10"/>
      <c r="Y699" s="10"/>
      <c r="Z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48"/>
      <c r="W700" s="10"/>
      <c r="X700" s="10"/>
      <c r="Y700" s="10"/>
      <c r="Z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48"/>
      <c r="W701" s="10"/>
      <c r="X701" s="10"/>
      <c r="Y701" s="10"/>
      <c r="Z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48"/>
      <c r="W702" s="10"/>
      <c r="X702" s="10"/>
      <c r="Y702" s="10"/>
      <c r="Z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48"/>
      <c r="W703" s="10"/>
      <c r="X703" s="10"/>
      <c r="Y703" s="10"/>
      <c r="Z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48"/>
      <c r="W704" s="10"/>
      <c r="X704" s="10"/>
      <c r="Y704" s="10"/>
      <c r="Z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48"/>
      <c r="W705" s="10"/>
      <c r="X705" s="10"/>
      <c r="Y705" s="10"/>
      <c r="Z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48"/>
      <c r="W706" s="10"/>
      <c r="X706" s="10"/>
      <c r="Y706" s="10"/>
      <c r="Z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48"/>
      <c r="W707" s="10"/>
      <c r="X707" s="10"/>
      <c r="Y707" s="10"/>
      <c r="Z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48"/>
      <c r="W708" s="10"/>
      <c r="X708" s="10"/>
      <c r="Y708" s="10"/>
      <c r="Z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48"/>
      <c r="W709" s="10"/>
      <c r="X709" s="10"/>
      <c r="Y709" s="10"/>
      <c r="Z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48"/>
      <c r="W710" s="10"/>
      <c r="X710" s="10"/>
      <c r="Y710" s="10"/>
      <c r="Z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48"/>
      <c r="W711" s="10"/>
      <c r="X711" s="10"/>
      <c r="Y711" s="10"/>
      <c r="Z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48"/>
      <c r="W712" s="10"/>
      <c r="X712" s="10"/>
      <c r="Y712" s="10"/>
      <c r="Z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48"/>
      <c r="W713" s="10"/>
      <c r="X713" s="10"/>
      <c r="Y713" s="10"/>
      <c r="Z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48"/>
      <c r="W714" s="10"/>
      <c r="X714" s="10"/>
      <c r="Y714" s="10"/>
      <c r="Z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48"/>
      <c r="W715" s="10"/>
      <c r="X715" s="10"/>
      <c r="Y715" s="10"/>
      <c r="Z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48"/>
      <c r="W716" s="10"/>
      <c r="X716" s="10"/>
      <c r="Y716" s="10"/>
      <c r="Z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48"/>
      <c r="W717" s="10"/>
      <c r="X717" s="10"/>
      <c r="Y717" s="10"/>
      <c r="Z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48"/>
      <c r="W718" s="10"/>
      <c r="X718" s="10"/>
      <c r="Y718" s="10"/>
      <c r="Z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48"/>
      <c r="W719" s="10"/>
      <c r="X719" s="10"/>
      <c r="Y719" s="10"/>
      <c r="Z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48"/>
      <c r="W720" s="10"/>
      <c r="X720" s="10"/>
      <c r="Y720" s="10"/>
      <c r="Z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48"/>
      <c r="W721" s="10"/>
      <c r="X721" s="10"/>
      <c r="Y721" s="10"/>
      <c r="Z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48"/>
      <c r="W722" s="10"/>
      <c r="X722" s="10"/>
      <c r="Y722" s="10"/>
      <c r="Z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48"/>
      <c r="W723" s="10"/>
      <c r="X723" s="10"/>
      <c r="Y723" s="10"/>
      <c r="Z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48"/>
      <c r="W724" s="10"/>
      <c r="X724" s="10"/>
      <c r="Y724" s="10"/>
      <c r="Z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48"/>
      <c r="W725" s="10"/>
      <c r="X725" s="10"/>
      <c r="Y725" s="10"/>
      <c r="Z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48"/>
      <c r="W726" s="10"/>
      <c r="X726" s="10"/>
      <c r="Y726" s="10"/>
      <c r="Z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48"/>
      <c r="W727" s="10"/>
      <c r="X727" s="10"/>
      <c r="Y727" s="10"/>
      <c r="Z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48"/>
      <c r="W728" s="10"/>
      <c r="X728" s="10"/>
      <c r="Y728" s="10"/>
      <c r="Z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48"/>
      <c r="W729" s="10"/>
      <c r="X729" s="10"/>
      <c r="Y729" s="10"/>
      <c r="Z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48"/>
      <c r="W730" s="10"/>
      <c r="X730" s="10"/>
      <c r="Y730" s="10"/>
      <c r="Z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48"/>
      <c r="W731" s="10"/>
      <c r="X731" s="10"/>
      <c r="Y731" s="10"/>
      <c r="Z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48"/>
      <c r="W732" s="10"/>
      <c r="X732" s="10"/>
      <c r="Y732" s="10"/>
      <c r="Z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48"/>
      <c r="W733" s="10"/>
      <c r="X733" s="10"/>
      <c r="Y733" s="10"/>
      <c r="Z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48"/>
      <c r="W734" s="10"/>
      <c r="X734" s="10"/>
      <c r="Y734" s="10"/>
      <c r="Z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48"/>
      <c r="W735" s="10"/>
      <c r="X735" s="10"/>
      <c r="Y735" s="10"/>
      <c r="Z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48"/>
      <c r="W736" s="10"/>
      <c r="X736" s="10"/>
      <c r="Y736" s="10"/>
      <c r="Z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48"/>
      <c r="W737" s="10"/>
      <c r="X737" s="10"/>
      <c r="Y737" s="10"/>
      <c r="Z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48"/>
      <c r="W738" s="10"/>
      <c r="X738" s="10"/>
      <c r="Y738" s="10"/>
      <c r="Z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48"/>
      <c r="W739" s="10"/>
      <c r="X739" s="10"/>
      <c r="Y739" s="10"/>
      <c r="Z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48"/>
      <c r="W740" s="10"/>
      <c r="X740" s="10"/>
      <c r="Y740" s="10"/>
      <c r="Z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48"/>
      <c r="W741" s="10"/>
      <c r="X741" s="10"/>
      <c r="Y741" s="10"/>
      <c r="Z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48"/>
      <c r="W742" s="10"/>
      <c r="X742" s="10"/>
      <c r="Y742" s="10"/>
      <c r="Z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48"/>
      <c r="W743" s="10"/>
      <c r="X743" s="10"/>
      <c r="Y743" s="10"/>
      <c r="Z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48"/>
      <c r="W744" s="10"/>
      <c r="X744" s="10"/>
      <c r="Y744" s="10"/>
      <c r="Z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48"/>
      <c r="W745" s="10"/>
      <c r="X745" s="10"/>
      <c r="Y745" s="10"/>
      <c r="Z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48"/>
      <c r="W746" s="10"/>
      <c r="X746" s="10"/>
      <c r="Y746" s="10"/>
      <c r="Z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48"/>
      <c r="W747" s="10"/>
      <c r="X747" s="10"/>
      <c r="Y747" s="10"/>
      <c r="Z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48"/>
      <c r="W748" s="10"/>
      <c r="X748" s="10"/>
      <c r="Y748" s="10"/>
      <c r="Z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48"/>
      <c r="W749" s="10"/>
      <c r="X749" s="10"/>
      <c r="Y749" s="10"/>
      <c r="Z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48"/>
      <c r="W750" s="10"/>
      <c r="X750" s="10"/>
      <c r="Y750" s="10"/>
      <c r="Z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48"/>
      <c r="W751" s="10"/>
      <c r="X751" s="10"/>
      <c r="Y751" s="10"/>
      <c r="Z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48"/>
      <c r="W752" s="10"/>
      <c r="X752" s="10"/>
      <c r="Y752" s="10"/>
      <c r="Z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48"/>
      <c r="W753" s="10"/>
      <c r="X753" s="10"/>
      <c r="Y753" s="10"/>
      <c r="Z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48"/>
      <c r="W754" s="10"/>
      <c r="X754" s="10"/>
      <c r="Y754" s="10"/>
      <c r="Z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48"/>
      <c r="W755" s="10"/>
      <c r="X755" s="10"/>
      <c r="Y755" s="10"/>
      <c r="Z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48"/>
      <c r="W756" s="10"/>
      <c r="X756" s="10"/>
      <c r="Y756" s="10"/>
      <c r="Z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48"/>
      <c r="W757" s="10"/>
      <c r="X757" s="10"/>
      <c r="Y757" s="10"/>
      <c r="Z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48"/>
      <c r="W758" s="10"/>
      <c r="X758" s="10"/>
      <c r="Y758" s="10"/>
      <c r="Z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48"/>
      <c r="W759" s="10"/>
      <c r="X759" s="10"/>
      <c r="Y759" s="10"/>
      <c r="Z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48"/>
      <c r="W760" s="10"/>
      <c r="X760" s="10"/>
      <c r="Y760" s="10"/>
      <c r="Z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48"/>
      <c r="W761" s="10"/>
      <c r="X761" s="10"/>
      <c r="Y761" s="10"/>
      <c r="Z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48"/>
      <c r="W762" s="10"/>
      <c r="X762" s="10"/>
      <c r="Y762" s="10"/>
      <c r="Z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48"/>
      <c r="W763" s="10"/>
      <c r="X763" s="10"/>
      <c r="Y763" s="10"/>
      <c r="Z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48"/>
      <c r="W764" s="10"/>
      <c r="X764" s="10"/>
      <c r="Y764" s="10"/>
      <c r="Z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48"/>
      <c r="W765" s="10"/>
      <c r="X765" s="10"/>
      <c r="Y765" s="10"/>
      <c r="Z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48"/>
      <c r="W766" s="10"/>
      <c r="X766" s="10"/>
      <c r="Y766" s="10"/>
      <c r="Z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48"/>
      <c r="W767" s="10"/>
      <c r="X767" s="10"/>
      <c r="Y767" s="10"/>
      <c r="Z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48"/>
      <c r="W768" s="10"/>
      <c r="X768" s="10"/>
      <c r="Y768" s="10"/>
      <c r="Z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48"/>
      <c r="W769" s="10"/>
      <c r="X769" s="10"/>
      <c r="Y769" s="10"/>
      <c r="Z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48"/>
      <c r="W770" s="10"/>
      <c r="X770" s="10"/>
      <c r="Y770" s="10"/>
      <c r="Z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48"/>
      <c r="W771" s="10"/>
      <c r="X771" s="10"/>
      <c r="Y771" s="10"/>
      <c r="Z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48"/>
      <c r="W772" s="10"/>
      <c r="X772" s="10"/>
      <c r="Y772" s="10"/>
      <c r="Z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48"/>
      <c r="W773" s="10"/>
      <c r="X773" s="10"/>
      <c r="Y773" s="10"/>
      <c r="Z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48"/>
      <c r="W774" s="10"/>
      <c r="X774" s="10"/>
      <c r="Y774" s="10"/>
      <c r="Z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48"/>
      <c r="W775" s="10"/>
      <c r="X775" s="10"/>
      <c r="Y775" s="10"/>
      <c r="Z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48"/>
      <c r="W776" s="10"/>
      <c r="X776" s="10"/>
      <c r="Y776" s="10"/>
      <c r="Z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48"/>
      <c r="W777" s="10"/>
      <c r="X777" s="10"/>
      <c r="Y777" s="10"/>
      <c r="Z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48"/>
      <c r="W778" s="10"/>
      <c r="X778" s="10"/>
      <c r="Y778" s="10"/>
      <c r="Z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48"/>
      <c r="W779" s="10"/>
      <c r="X779" s="10"/>
      <c r="Y779" s="10"/>
      <c r="Z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48"/>
      <c r="W780" s="10"/>
      <c r="X780" s="10"/>
      <c r="Y780" s="10"/>
      <c r="Z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48"/>
      <c r="W781" s="10"/>
      <c r="X781" s="10"/>
      <c r="Y781" s="10"/>
      <c r="Z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48"/>
      <c r="W782" s="10"/>
      <c r="X782" s="10"/>
      <c r="Y782" s="10"/>
      <c r="Z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48"/>
      <c r="W783" s="10"/>
      <c r="X783" s="10"/>
      <c r="Y783" s="10"/>
      <c r="Z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48"/>
      <c r="W784" s="10"/>
      <c r="X784" s="10"/>
      <c r="Y784" s="10"/>
      <c r="Z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48"/>
      <c r="W785" s="10"/>
      <c r="X785" s="10"/>
      <c r="Y785" s="10"/>
      <c r="Z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48"/>
      <c r="W786" s="10"/>
      <c r="X786" s="10"/>
      <c r="Y786" s="10"/>
      <c r="Z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48"/>
      <c r="W787" s="10"/>
      <c r="X787" s="10"/>
      <c r="Y787" s="10"/>
      <c r="Z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48"/>
      <c r="W788" s="10"/>
      <c r="X788" s="10"/>
      <c r="Y788" s="10"/>
      <c r="Z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48"/>
      <c r="W789" s="10"/>
      <c r="X789" s="10"/>
      <c r="Y789" s="10"/>
      <c r="Z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48"/>
      <c r="W790" s="10"/>
      <c r="X790" s="10"/>
      <c r="Y790" s="10"/>
      <c r="Z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48"/>
      <c r="W791" s="10"/>
      <c r="X791" s="10"/>
      <c r="Y791" s="10"/>
      <c r="Z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48"/>
      <c r="W792" s="10"/>
      <c r="X792" s="10"/>
      <c r="Y792" s="10"/>
      <c r="Z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48"/>
      <c r="W793" s="10"/>
      <c r="X793" s="10"/>
      <c r="Y793" s="10"/>
      <c r="Z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48"/>
      <c r="W794" s="10"/>
      <c r="X794" s="10"/>
      <c r="Y794" s="10"/>
      <c r="Z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48"/>
      <c r="W795" s="10"/>
      <c r="X795" s="10"/>
      <c r="Y795" s="10"/>
      <c r="Z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48"/>
      <c r="W796" s="10"/>
      <c r="X796" s="10"/>
      <c r="Y796" s="10"/>
      <c r="Z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48"/>
      <c r="W797" s="10"/>
      <c r="X797" s="10"/>
      <c r="Y797" s="10"/>
      <c r="Z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48"/>
      <c r="W798" s="10"/>
      <c r="X798" s="10"/>
      <c r="Y798" s="10"/>
      <c r="Z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48"/>
      <c r="W799" s="10"/>
      <c r="X799" s="10"/>
      <c r="Y799" s="10"/>
      <c r="Z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48"/>
      <c r="W800" s="10"/>
      <c r="X800" s="10"/>
      <c r="Y800" s="10"/>
      <c r="Z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48"/>
      <c r="W801" s="10"/>
      <c r="X801" s="10"/>
      <c r="Y801" s="10"/>
      <c r="Z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48"/>
      <c r="W802" s="10"/>
      <c r="X802" s="10"/>
      <c r="Y802" s="10"/>
      <c r="Z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48"/>
      <c r="W803" s="10"/>
      <c r="X803" s="10"/>
      <c r="Y803" s="10"/>
      <c r="Z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48"/>
      <c r="W804" s="10"/>
      <c r="X804" s="10"/>
      <c r="Y804" s="10"/>
      <c r="Z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48"/>
      <c r="W805" s="10"/>
      <c r="X805" s="10"/>
      <c r="Y805" s="10"/>
      <c r="Z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48"/>
      <c r="W806" s="10"/>
      <c r="X806" s="10"/>
      <c r="Y806" s="10"/>
      <c r="Z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48"/>
      <c r="W807" s="10"/>
      <c r="X807" s="10"/>
      <c r="Y807" s="10"/>
      <c r="Z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48"/>
      <c r="W808" s="10"/>
      <c r="X808" s="10"/>
      <c r="Y808" s="10"/>
      <c r="Z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48"/>
      <c r="W809" s="10"/>
      <c r="X809" s="10"/>
      <c r="Y809" s="10"/>
      <c r="Z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48"/>
      <c r="W810" s="10"/>
      <c r="X810" s="10"/>
      <c r="Y810" s="10"/>
      <c r="Z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48"/>
      <c r="W811" s="10"/>
      <c r="X811" s="10"/>
      <c r="Y811" s="10"/>
      <c r="Z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48"/>
      <c r="W812" s="10"/>
      <c r="X812" s="10"/>
      <c r="Y812" s="10"/>
      <c r="Z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48"/>
      <c r="W813" s="10"/>
      <c r="X813" s="10"/>
      <c r="Y813" s="10"/>
      <c r="Z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48"/>
      <c r="W814" s="10"/>
      <c r="X814" s="10"/>
      <c r="Y814" s="10"/>
      <c r="Z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48"/>
      <c r="W815" s="10"/>
      <c r="X815" s="10"/>
      <c r="Y815" s="10"/>
      <c r="Z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48"/>
      <c r="W816" s="10"/>
      <c r="X816" s="10"/>
      <c r="Y816" s="10"/>
      <c r="Z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48"/>
      <c r="W817" s="10"/>
      <c r="X817" s="10"/>
      <c r="Y817" s="10"/>
      <c r="Z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48"/>
      <c r="W818" s="10"/>
      <c r="X818" s="10"/>
      <c r="Y818" s="10"/>
      <c r="Z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48"/>
      <c r="W819" s="10"/>
      <c r="X819" s="10"/>
      <c r="Y819" s="10"/>
      <c r="Z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48"/>
      <c r="W820" s="10"/>
      <c r="X820" s="10"/>
      <c r="Y820" s="10"/>
      <c r="Z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48"/>
      <c r="W821" s="10"/>
      <c r="X821" s="10"/>
      <c r="Y821" s="10"/>
      <c r="Z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48"/>
      <c r="W822" s="10"/>
      <c r="X822" s="10"/>
      <c r="Y822" s="10"/>
      <c r="Z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48"/>
      <c r="W823" s="10"/>
      <c r="X823" s="10"/>
      <c r="Y823" s="10"/>
      <c r="Z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48"/>
      <c r="W824" s="10"/>
      <c r="X824" s="10"/>
      <c r="Y824" s="10"/>
      <c r="Z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48"/>
      <c r="W825" s="10"/>
      <c r="X825" s="10"/>
      <c r="Y825" s="10"/>
      <c r="Z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48"/>
      <c r="W826" s="10"/>
      <c r="X826" s="10"/>
      <c r="Y826" s="10"/>
      <c r="Z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48"/>
      <c r="W827" s="10"/>
      <c r="X827" s="10"/>
      <c r="Y827" s="10"/>
      <c r="Z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48"/>
      <c r="W828" s="10"/>
      <c r="X828" s="10"/>
      <c r="Y828" s="10"/>
      <c r="Z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48"/>
      <c r="W829" s="10"/>
      <c r="X829" s="10"/>
      <c r="Y829" s="10"/>
      <c r="Z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48"/>
      <c r="W830" s="10"/>
      <c r="X830" s="10"/>
      <c r="Y830" s="10"/>
      <c r="Z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48"/>
      <c r="W831" s="10"/>
      <c r="X831" s="10"/>
      <c r="Y831" s="10"/>
      <c r="Z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48"/>
      <c r="W832" s="10"/>
      <c r="X832" s="10"/>
      <c r="Y832" s="10"/>
      <c r="Z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48"/>
      <c r="W833" s="10"/>
      <c r="X833" s="10"/>
      <c r="Y833" s="10"/>
      <c r="Z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48"/>
      <c r="W834" s="10"/>
      <c r="X834" s="10"/>
      <c r="Y834" s="10"/>
      <c r="Z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48"/>
      <c r="W835" s="10"/>
      <c r="X835" s="10"/>
      <c r="Y835" s="10"/>
      <c r="Z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48"/>
      <c r="W836" s="10"/>
      <c r="X836" s="10"/>
      <c r="Y836" s="10"/>
      <c r="Z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48"/>
      <c r="W837" s="10"/>
      <c r="X837" s="10"/>
      <c r="Y837" s="10"/>
      <c r="Z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48"/>
      <c r="W838" s="10"/>
      <c r="X838" s="10"/>
      <c r="Y838" s="10"/>
      <c r="Z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48"/>
      <c r="W839" s="10"/>
      <c r="X839" s="10"/>
      <c r="Y839" s="10"/>
      <c r="Z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48"/>
      <c r="W840" s="10"/>
      <c r="X840" s="10"/>
      <c r="Y840" s="10"/>
      <c r="Z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48"/>
      <c r="W841" s="10"/>
      <c r="X841" s="10"/>
      <c r="Y841" s="10"/>
      <c r="Z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48"/>
      <c r="W842" s="10"/>
      <c r="X842" s="10"/>
      <c r="Y842" s="10"/>
      <c r="Z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48"/>
      <c r="W843" s="10"/>
      <c r="X843" s="10"/>
      <c r="Y843" s="10"/>
      <c r="Z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48"/>
      <c r="W844" s="10"/>
      <c r="X844" s="10"/>
      <c r="Y844" s="10"/>
      <c r="Z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48"/>
      <c r="W845" s="10"/>
      <c r="X845" s="10"/>
      <c r="Y845" s="10"/>
      <c r="Z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48"/>
      <c r="W846" s="10"/>
      <c r="X846" s="10"/>
      <c r="Y846" s="10"/>
      <c r="Z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48"/>
      <c r="W847" s="10"/>
      <c r="X847" s="10"/>
      <c r="Y847" s="10"/>
      <c r="Z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48"/>
      <c r="W848" s="10"/>
      <c r="X848" s="10"/>
      <c r="Y848" s="10"/>
      <c r="Z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48"/>
      <c r="W849" s="10"/>
      <c r="X849" s="10"/>
      <c r="Y849" s="10"/>
      <c r="Z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48"/>
      <c r="W850" s="10"/>
      <c r="X850" s="10"/>
      <c r="Y850" s="10"/>
      <c r="Z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48"/>
      <c r="W851" s="10"/>
      <c r="X851" s="10"/>
      <c r="Y851" s="10"/>
      <c r="Z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48"/>
      <c r="W852" s="10"/>
      <c r="X852" s="10"/>
      <c r="Y852" s="10"/>
      <c r="Z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48"/>
      <c r="W853" s="10"/>
      <c r="X853" s="10"/>
      <c r="Y853" s="10"/>
      <c r="Z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48"/>
      <c r="W854" s="10"/>
      <c r="X854" s="10"/>
      <c r="Y854" s="10"/>
      <c r="Z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48"/>
      <c r="W855" s="10"/>
      <c r="X855" s="10"/>
      <c r="Y855" s="10"/>
      <c r="Z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48"/>
      <c r="W856" s="10"/>
      <c r="X856" s="10"/>
      <c r="Y856" s="10"/>
      <c r="Z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48"/>
      <c r="W857" s="10"/>
      <c r="X857" s="10"/>
      <c r="Y857" s="10"/>
      <c r="Z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48"/>
      <c r="W858" s="10"/>
      <c r="X858" s="10"/>
      <c r="Y858" s="10"/>
      <c r="Z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48"/>
      <c r="W859" s="10"/>
      <c r="X859" s="10"/>
      <c r="Y859" s="10"/>
      <c r="Z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48"/>
      <c r="W860" s="10"/>
      <c r="X860" s="10"/>
      <c r="Y860" s="10"/>
      <c r="Z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48"/>
      <c r="W861" s="10"/>
      <c r="X861" s="10"/>
      <c r="Y861" s="10"/>
      <c r="Z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48"/>
      <c r="W862" s="10"/>
      <c r="X862" s="10"/>
      <c r="Y862" s="10"/>
      <c r="Z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48"/>
      <c r="W863" s="10"/>
      <c r="X863" s="10"/>
      <c r="Y863" s="10"/>
      <c r="Z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48"/>
      <c r="W864" s="10"/>
      <c r="X864" s="10"/>
      <c r="Y864" s="10"/>
      <c r="Z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48"/>
      <c r="W865" s="10"/>
      <c r="X865" s="10"/>
      <c r="Y865" s="10"/>
      <c r="Z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48"/>
      <c r="W866" s="10"/>
      <c r="X866" s="10"/>
      <c r="Y866" s="10"/>
      <c r="Z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48"/>
      <c r="W867" s="10"/>
      <c r="X867" s="10"/>
      <c r="Y867" s="10"/>
      <c r="Z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48"/>
      <c r="W868" s="10"/>
      <c r="X868" s="10"/>
      <c r="Y868" s="10"/>
      <c r="Z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48"/>
      <c r="W869" s="10"/>
      <c r="X869" s="10"/>
      <c r="Y869" s="10"/>
      <c r="Z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48"/>
      <c r="W870" s="10"/>
      <c r="X870" s="10"/>
      <c r="Y870" s="10"/>
      <c r="Z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48"/>
      <c r="W871" s="10"/>
      <c r="X871" s="10"/>
      <c r="Y871" s="10"/>
      <c r="Z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48"/>
      <c r="W872" s="10"/>
      <c r="X872" s="10"/>
      <c r="Y872" s="10"/>
      <c r="Z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48"/>
      <c r="W873" s="10"/>
      <c r="X873" s="10"/>
      <c r="Y873" s="10"/>
      <c r="Z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48"/>
      <c r="W874" s="10"/>
      <c r="X874" s="10"/>
      <c r="Y874" s="10"/>
      <c r="Z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48"/>
      <c r="W875" s="10"/>
      <c r="X875" s="10"/>
      <c r="Y875" s="10"/>
      <c r="Z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48"/>
      <c r="W876" s="10"/>
      <c r="X876" s="10"/>
      <c r="Y876" s="10"/>
      <c r="Z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48"/>
      <c r="W877" s="10"/>
      <c r="X877" s="10"/>
      <c r="Y877" s="10"/>
      <c r="Z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48"/>
      <c r="W878" s="10"/>
      <c r="X878" s="10"/>
      <c r="Y878" s="10"/>
      <c r="Z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48"/>
      <c r="W879" s="10"/>
      <c r="X879" s="10"/>
      <c r="Y879" s="10"/>
      <c r="Z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48"/>
      <c r="W880" s="10"/>
      <c r="X880" s="10"/>
      <c r="Y880" s="10"/>
      <c r="Z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48"/>
      <c r="W881" s="10"/>
      <c r="X881" s="10"/>
      <c r="Y881" s="10"/>
      <c r="Z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48"/>
      <c r="W882" s="10"/>
      <c r="X882" s="10"/>
      <c r="Y882" s="10"/>
      <c r="Z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48"/>
      <c r="W883" s="10"/>
      <c r="X883" s="10"/>
      <c r="Y883" s="10"/>
      <c r="Z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48"/>
      <c r="W884" s="10"/>
      <c r="X884" s="10"/>
      <c r="Y884" s="10"/>
      <c r="Z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48"/>
      <c r="W885" s="10"/>
      <c r="X885" s="10"/>
      <c r="Y885" s="10"/>
      <c r="Z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48"/>
      <c r="W886" s="10"/>
      <c r="X886" s="10"/>
      <c r="Y886" s="10"/>
      <c r="Z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48"/>
      <c r="W887" s="10"/>
      <c r="X887" s="10"/>
      <c r="Y887" s="10"/>
      <c r="Z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48"/>
      <c r="W888" s="10"/>
      <c r="X888" s="10"/>
      <c r="Y888" s="10"/>
      <c r="Z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48"/>
      <c r="W889" s="10"/>
      <c r="X889" s="10"/>
      <c r="Y889" s="10"/>
      <c r="Z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48"/>
      <c r="W890" s="10"/>
      <c r="X890" s="10"/>
      <c r="Y890" s="10"/>
      <c r="Z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48"/>
      <c r="W891" s="10"/>
      <c r="X891" s="10"/>
      <c r="Y891" s="10"/>
      <c r="Z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48"/>
      <c r="W892" s="10"/>
      <c r="X892" s="10"/>
      <c r="Y892" s="10"/>
      <c r="Z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48"/>
      <c r="W893" s="10"/>
      <c r="X893" s="10"/>
      <c r="Y893" s="10"/>
      <c r="Z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48"/>
      <c r="W894" s="10"/>
      <c r="X894" s="10"/>
      <c r="Y894" s="10"/>
      <c r="Z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48"/>
      <c r="W895" s="10"/>
      <c r="X895" s="10"/>
      <c r="Y895" s="10"/>
      <c r="Z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48"/>
      <c r="W896" s="10"/>
      <c r="X896" s="10"/>
      <c r="Y896" s="10"/>
      <c r="Z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48"/>
      <c r="W897" s="10"/>
      <c r="X897" s="10"/>
      <c r="Y897" s="10"/>
      <c r="Z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48"/>
      <c r="W898" s="10"/>
      <c r="X898" s="10"/>
      <c r="Y898" s="10"/>
      <c r="Z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48"/>
      <c r="W899" s="10"/>
      <c r="X899" s="10"/>
      <c r="Y899" s="10"/>
      <c r="Z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48"/>
      <c r="W900" s="10"/>
      <c r="X900" s="10"/>
      <c r="Y900" s="10"/>
      <c r="Z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48"/>
      <c r="W901" s="10"/>
      <c r="X901" s="10"/>
      <c r="Y901" s="10"/>
      <c r="Z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48"/>
      <c r="W902" s="10"/>
      <c r="X902" s="10"/>
      <c r="Y902" s="10"/>
      <c r="Z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48"/>
      <c r="W903" s="10"/>
      <c r="X903" s="10"/>
      <c r="Y903" s="10"/>
      <c r="Z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48"/>
      <c r="W904" s="10"/>
      <c r="X904" s="10"/>
      <c r="Y904" s="10"/>
      <c r="Z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48"/>
      <c r="W905" s="10"/>
      <c r="X905" s="10"/>
      <c r="Y905" s="10"/>
      <c r="Z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48"/>
      <c r="W906" s="10"/>
      <c r="X906" s="10"/>
      <c r="Y906" s="10"/>
      <c r="Z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48"/>
      <c r="W907" s="10"/>
      <c r="X907" s="10"/>
      <c r="Y907" s="10"/>
      <c r="Z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48"/>
      <c r="W908" s="10"/>
      <c r="X908" s="10"/>
      <c r="Y908" s="10"/>
      <c r="Z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48"/>
      <c r="W909" s="10"/>
      <c r="X909" s="10"/>
      <c r="Y909" s="10"/>
      <c r="Z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48"/>
      <c r="W910" s="10"/>
      <c r="X910" s="10"/>
      <c r="Y910" s="10"/>
      <c r="Z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48"/>
      <c r="W911" s="10"/>
      <c r="X911" s="10"/>
      <c r="Y911" s="10"/>
      <c r="Z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48"/>
      <c r="W912" s="10"/>
      <c r="X912" s="10"/>
      <c r="Y912" s="10"/>
      <c r="Z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48"/>
      <c r="W913" s="10"/>
      <c r="X913" s="10"/>
      <c r="Y913" s="10"/>
      <c r="Z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48"/>
      <c r="W914" s="10"/>
      <c r="X914" s="10"/>
      <c r="Y914" s="10"/>
      <c r="Z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48"/>
      <c r="W915" s="10"/>
      <c r="X915" s="10"/>
      <c r="Y915" s="10"/>
      <c r="Z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48"/>
      <c r="W916" s="10"/>
      <c r="X916" s="10"/>
      <c r="Y916" s="10"/>
      <c r="Z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48"/>
      <c r="W917" s="10"/>
      <c r="X917" s="10"/>
      <c r="Y917" s="10"/>
      <c r="Z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48"/>
      <c r="W918" s="10"/>
      <c r="X918" s="10"/>
      <c r="Y918" s="10"/>
      <c r="Z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48"/>
      <c r="W919" s="10"/>
      <c r="X919" s="10"/>
      <c r="Y919" s="10"/>
      <c r="Z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48"/>
      <c r="W920" s="10"/>
      <c r="X920" s="10"/>
      <c r="Y920" s="10"/>
      <c r="Z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48"/>
      <c r="W921" s="10"/>
      <c r="X921" s="10"/>
      <c r="Y921" s="10"/>
      <c r="Z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48"/>
      <c r="W922" s="10"/>
      <c r="X922" s="10"/>
      <c r="Y922" s="10"/>
      <c r="Z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48"/>
      <c r="W923" s="10"/>
      <c r="X923" s="10"/>
      <c r="Y923" s="10"/>
      <c r="Z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48"/>
      <c r="W924" s="10"/>
      <c r="X924" s="10"/>
      <c r="Y924" s="10"/>
      <c r="Z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48"/>
      <c r="W925" s="10"/>
      <c r="X925" s="10"/>
      <c r="Y925" s="10"/>
      <c r="Z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48"/>
      <c r="W926" s="10"/>
      <c r="X926" s="10"/>
      <c r="Y926" s="10"/>
      <c r="Z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48"/>
      <c r="W927" s="10"/>
      <c r="X927" s="10"/>
      <c r="Y927" s="10"/>
      <c r="Z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48"/>
      <c r="W928" s="10"/>
      <c r="X928" s="10"/>
      <c r="Y928" s="10"/>
      <c r="Z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48"/>
      <c r="W929" s="10"/>
      <c r="X929" s="10"/>
      <c r="Y929" s="10"/>
      <c r="Z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48"/>
      <c r="W930" s="10"/>
      <c r="X930" s="10"/>
      <c r="Y930" s="10"/>
      <c r="Z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48"/>
      <c r="W931" s="10"/>
      <c r="X931" s="10"/>
      <c r="Y931" s="10"/>
      <c r="Z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48"/>
      <c r="W932" s="10"/>
      <c r="X932" s="10"/>
      <c r="Y932" s="10"/>
      <c r="Z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48"/>
      <c r="W933" s="10"/>
      <c r="X933" s="10"/>
      <c r="Y933" s="10"/>
      <c r="Z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48"/>
      <c r="W934" s="10"/>
      <c r="X934" s="10"/>
      <c r="Y934" s="10"/>
      <c r="Z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48"/>
      <c r="W935" s="10"/>
      <c r="X935" s="10"/>
      <c r="Y935" s="10"/>
      <c r="Z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48"/>
      <c r="W936" s="10"/>
      <c r="X936" s="10"/>
      <c r="Y936" s="10"/>
      <c r="Z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48"/>
      <c r="W937" s="10"/>
      <c r="X937" s="10"/>
      <c r="Y937" s="10"/>
      <c r="Z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48"/>
      <c r="W938" s="10"/>
      <c r="X938" s="10"/>
      <c r="Y938" s="10"/>
      <c r="Z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48"/>
      <c r="W939" s="10"/>
      <c r="X939" s="10"/>
      <c r="Y939" s="10"/>
      <c r="Z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48"/>
      <c r="W940" s="10"/>
      <c r="X940" s="10"/>
      <c r="Y940" s="10"/>
      <c r="Z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48"/>
      <c r="W941" s="10"/>
      <c r="X941" s="10"/>
      <c r="Y941" s="10"/>
      <c r="Z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48"/>
      <c r="W942" s="10"/>
      <c r="X942" s="10"/>
      <c r="Y942" s="10"/>
      <c r="Z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48"/>
      <c r="W943" s="10"/>
      <c r="X943" s="10"/>
      <c r="Y943" s="10"/>
      <c r="Z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48"/>
      <c r="W944" s="10"/>
      <c r="X944" s="10"/>
      <c r="Y944" s="10"/>
      <c r="Z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48"/>
      <c r="W945" s="10"/>
      <c r="X945" s="10"/>
      <c r="Y945" s="10"/>
      <c r="Z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48"/>
      <c r="W946" s="10"/>
      <c r="X946" s="10"/>
      <c r="Y946" s="10"/>
      <c r="Z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48"/>
      <c r="W947" s="10"/>
      <c r="X947" s="10"/>
      <c r="Y947" s="10"/>
      <c r="Z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48"/>
      <c r="W948" s="10"/>
      <c r="X948" s="10"/>
      <c r="Y948" s="10"/>
      <c r="Z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48"/>
      <c r="W949" s="10"/>
      <c r="X949" s="10"/>
      <c r="Y949" s="10"/>
      <c r="Z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48"/>
      <c r="W950" s="10"/>
      <c r="X950" s="10"/>
      <c r="Y950" s="10"/>
      <c r="Z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48"/>
      <c r="W951" s="10"/>
      <c r="X951" s="10"/>
      <c r="Y951" s="10"/>
      <c r="Z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48"/>
      <c r="W952" s="10"/>
      <c r="X952" s="10"/>
      <c r="Y952" s="10"/>
      <c r="Z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48"/>
      <c r="W953" s="10"/>
      <c r="X953" s="10"/>
      <c r="Y953" s="10"/>
      <c r="Z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48"/>
      <c r="W954" s="10"/>
      <c r="X954" s="10"/>
      <c r="Y954" s="10"/>
      <c r="Z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48"/>
      <c r="W955" s="10"/>
      <c r="X955" s="10"/>
      <c r="Y955" s="10"/>
      <c r="Z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48"/>
      <c r="W956" s="10"/>
      <c r="X956" s="10"/>
      <c r="Y956" s="10"/>
      <c r="Z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48"/>
      <c r="W957" s="10"/>
      <c r="X957" s="10"/>
      <c r="Y957" s="10"/>
      <c r="Z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48"/>
      <c r="W958" s="10"/>
      <c r="X958" s="10"/>
      <c r="Y958" s="10"/>
      <c r="Z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48"/>
      <c r="W959" s="10"/>
      <c r="X959" s="10"/>
      <c r="Y959" s="10"/>
      <c r="Z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48"/>
      <c r="W960" s="10"/>
      <c r="X960" s="10"/>
      <c r="Y960" s="10"/>
      <c r="Z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48"/>
      <c r="W961" s="10"/>
      <c r="X961" s="10"/>
      <c r="Y961" s="10"/>
      <c r="Z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48"/>
      <c r="W962" s="10"/>
      <c r="X962" s="10"/>
      <c r="Y962" s="10"/>
      <c r="Z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48"/>
      <c r="W963" s="10"/>
      <c r="X963" s="10"/>
      <c r="Y963" s="10"/>
      <c r="Z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48"/>
      <c r="W964" s="10"/>
      <c r="X964" s="10"/>
      <c r="Y964" s="10"/>
      <c r="Z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48"/>
      <c r="W965" s="10"/>
      <c r="X965" s="10"/>
      <c r="Y965" s="10"/>
      <c r="Z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48"/>
      <c r="W966" s="10"/>
      <c r="X966" s="10"/>
      <c r="Y966" s="10"/>
      <c r="Z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48"/>
      <c r="W967" s="10"/>
      <c r="X967" s="10"/>
      <c r="Y967" s="10"/>
      <c r="Z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48"/>
      <c r="W968" s="10"/>
      <c r="X968" s="10"/>
      <c r="Y968" s="10"/>
      <c r="Z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48"/>
      <c r="W969" s="10"/>
      <c r="X969" s="10"/>
      <c r="Y969" s="10"/>
      <c r="Z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48"/>
      <c r="W970" s="10"/>
      <c r="X970" s="10"/>
      <c r="Y970" s="10"/>
      <c r="Z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48"/>
      <c r="W971" s="10"/>
      <c r="X971" s="10"/>
      <c r="Y971" s="10"/>
      <c r="Z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48"/>
      <c r="W972" s="10"/>
      <c r="X972" s="10"/>
      <c r="Y972" s="10"/>
      <c r="Z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48"/>
      <c r="W973" s="10"/>
      <c r="X973" s="10"/>
      <c r="Y973" s="10"/>
      <c r="Z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48"/>
      <c r="W974" s="10"/>
      <c r="X974" s="10"/>
      <c r="Y974" s="10"/>
      <c r="Z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48"/>
      <c r="W975" s="10"/>
      <c r="X975" s="10"/>
      <c r="Y975" s="10"/>
      <c r="Z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48"/>
      <c r="W976" s="10"/>
      <c r="X976" s="10"/>
      <c r="Y976" s="10"/>
      <c r="Z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48"/>
      <c r="W977" s="10"/>
      <c r="X977" s="10"/>
      <c r="Y977" s="10"/>
      <c r="Z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48"/>
      <c r="W978" s="10"/>
      <c r="X978" s="10"/>
      <c r="Y978" s="10"/>
      <c r="Z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48"/>
      <c r="W979" s="10"/>
      <c r="X979" s="10"/>
      <c r="Y979" s="10"/>
      <c r="Z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48"/>
      <c r="W980" s="10"/>
      <c r="X980" s="10"/>
      <c r="Y980" s="10"/>
      <c r="Z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48"/>
      <c r="W981" s="10"/>
      <c r="X981" s="10"/>
      <c r="Y981" s="10"/>
      <c r="Z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48"/>
      <c r="W982" s="10"/>
      <c r="X982" s="10"/>
      <c r="Y982" s="10"/>
      <c r="Z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48"/>
      <c r="W983" s="10"/>
      <c r="X983" s="10"/>
      <c r="Y983" s="10"/>
      <c r="Z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48"/>
      <c r="W984" s="10"/>
      <c r="X984" s="10"/>
      <c r="Y984" s="10"/>
      <c r="Z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48"/>
      <c r="W985" s="10"/>
      <c r="X985" s="10"/>
      <c r="Y985" s="10"/>
      <c r="Z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48"/>
      <c r="W986" s="10"/>
      <c r="X986" s="10"/>
      <c r="Y986" s="10"/>
      <c r="Z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48"/>
      <c r="W987" s="10"/>
      <c r="X987" s="10"/>
      <c r="Y987" s="10"/>
      <c r="Z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48"/>
      <c r="W988" s="10"/>
      <c r="X988" s="10"/>
      <c r="Y988" s="10"/>
      <c r="Z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48"/>
      <c r="W989" s="10"/>
      <c r="X989" s="10"/>
      <c r="Y989" s="10"/>
      <c r="Z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48"/>
      <c r="W990" s="10"/>
      <c r="X990" s="10"/>
      <c r="Y990" s="10"/>
      <c r="Z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48"/>
      <c r="W991" s="10"/>
      <c r="X991" s="10"/>
      <c r="Y991" s="10"/>
      <c r="Z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48"/>
      <c r="W992" s="10"/>
      <c r="X992" s="10"/>
      <c r="Y992" s="10"/>
      <c r="Z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48"/>
      <c r="W993" s="10"/>
      <c r="X993" s="10"/>
      <c r="Y993" s="10"/>
      <c r="Z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48"/>
      <c r="W994" s="10"/>
      <c r="X994" s="10"/>
      <c r="Y994" s="10"/>
      <c r="Z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48"/>
      <c r="W995" s="10"/>
      <c r="X995" s="10"/>
      <c r="Y995" s="10"/>
      <c r="Z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48"/>
      <c r="W996" s="10"/>
      <c r="X996" s="10"/>
      <c r="Y996" s="10"/>
      <c r="Z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48"/>
      <c r="W997" s="10"/>
      <c r="X997" s="10"/>
      <c r="Y997" s="10"/>
      <c r="Z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48"/>
      <c r="W998" s="10"/>
      <c r="X998" s="10"/>
      <c r="Y998" s="10"/>
      <c r="Z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48"/>
      <c r="W999" s="10"/>
      <c r="X999" s="10"/>
      <c r="Y999" s="10"/>
      <c r="Z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48"/>
      <c r="W1000" s="10"/>
      <c r="X1000" s="10"/>
      <c r="Y1000" s="10"/>
      <c r="Z1000" s="10"/>
    </row>
  </sheetData>
  <dataValidations>
    <dataValidation type="list" allowBlank="1" sqref="G2:G11">
      <formula1>Listas!$AD$5:$AD$31</formula1>
    </dataValidation>
    <dataValidation type="list" allowBlank="1" sqref="Q2:Q61">
      <formula1>Listas!$V$5:$V$7</formula1>
    </dataValidation>
    <dataValidation type="list" allowBlank="1" sqref="R2:R61">
      <formula1>Listas!$X$5:$X$7</formula1>
    </dataValidation>
    <dataValidation type="list" allowBlank="1" sqref="B2:B61 J2:J61 L2:L61">
      <formula1>Listas!$A$5:$A$8</formula1>
    </dataValidation>
    <dataValidation type="list" allowBlank="1" sqref="S2:S61">
      <formula1>Listas!$Z$5:$Z$7</formula1>
    </dataValidation>
    <dataValidation type="list" allowBlank="1" sqref="G12:G61">
      <formula1>Listas!$F$5:$F$27</formula1>
    </dataValidation>
    <dataValidation type="list" allowBlank="1" sqref="F2:F61">
      <formula1>Listas!$C$5:$C$17</formula1>
    </dataValidation>
    <dataValidation type="list" allowBlank="1" sqref="V2:V61">
      <formula1>Listas!$AB$5:$AB$7</formula1>
    </dataValidation>
  </dataValidations>
  <printOptions/>
  <pageMargins bottom="1.0" footer="0.0" header="0.0" left="0.75" right="0.75" top="1.0"/>
  <pageSetup paperSize="9"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0.0"/>
    <col customWidth="1" min="2" max="2" width="8.71"/>
    <col customWidth="1" min="3" max="3" width="62.0"/>
    <col customWidth="1" min="4" max="4" width="18.0"/>
    <col customWidth="1" min="5" max="5" width="8.71"/>
    <col customWidth="1" min="6" max="6" width="46.0"/>
    <col customWidth="1" min="7" max="7" width="8.0"/>
    <col customWidth="1" min="8" max="8" width="40.0"/>
    <col customWidth="1" min="9" max="9" width="8.71"/>
    <col customWidth="1" min="10" max="10" width="8.0"/>
    <col customWidth="1" min="11" max="11" width="44.0"/>
    <col customWidth="1" min="12" max="12" width="8.71"/>
    <col customWidth="1" min="13" max="13" width="8.0"/>
    <col customWidth="1" min="14" max="14" width="86.57"/>
    <col customWidth="1" min="15" max="15" width="8.71"/>
    <col customWidth="1" min="16" max="29" width="26.0"/>
    <col customWidth="1" min="30" max="30" width="58.0"/>
  </cols>
  <sheetData>
    <row r="1" ht="15.0" customHeight="1">
      <c r="A1" s="3" t="s">
        <v>7</v>
      </c>
      <c r="G1" s="4"/>
      <c r="H1" s="4"/>
      <c r="I1" s="4"/>
      <c r="J1" s="4"/>
      <c r="K1" s="4"/>
      <c r="L1" s="4"/>
      <c r="M1" s="4"/>
      <c r="N1" s="4"/>
      <c r="O1" s="4"/>
      <c r="P1" s="4"/>
      <c r="Q1" s="4"/>
      <c r="R1" s="4"/>
      <c r="S1" s="4"/>
      <c r="T1" s="4"/>
      <c r="U1" s="4"/>
      <c r="V1" s="4"/>
      <c r="W1" s="4"/>
      <c r="X1" s="4"/>
      <c r="Y1" s="4"/>
      <c r="Z1" s="4"/>
      <c r="AA1" s="4"/>
      <c r="AB1" s="4"/>
      <c r="AC1" s="4"/>
      <c r="AD1" s="4"/>
    </row>
    <row r="2" ht="15.0" customHeight="1">
      <c r="A2" s="4"/>
      <c r="B2" s="4"/>
      <c r="C2" s="4"/>
      <c r="D2" s="4"/>
      <c r="E2" s="4"/>
      <c r="F2" s="4"/>
      <c r="G2" s="4"/>
      <c r="H2" s="4"/>
      <c r="I2" s="4"/>
      <c r="J2" s="4"/>
      <c r="K2" s="4"/>
      <c r="L2" s="4"/>
      <c r="M2" s="4"/>
      <c r="N2" s="4"/>
      <c r="O2" s="4"/>
      <c r="P2" s="4"/>
      <c r="Q2" s="4"/>
      <c r="R2" s="4"/>
      <c r="S2" s="4"/>
      <c r="T2" s="4"/>
      <c r="U2" s="4"/>
      <c r="V2" s="4"/>
      <c r="W2" s="4"/>
      <c r="X2" s="4"/>
      <c r="Y2" s="4"/>
      <c r="Z2" s="4"/>
      <c r="AA2" s="4"/>
      <c r="AB2" s="4"/>
      <c r="AC2" s="4"/>
      <c r="AD2" s="4"/>
    </row>
    <row r="3" ht="15.0" customHeight="1">
      <c r="A3" s="3" t="s">
        <v>45</v>
      </c>
      <c r="B3" s="4"/>
      <c r="C3" s="3" t="s">
        <v>47</v>
      </c>
      <c r="D3" s="4"/>
      <c r="E3" s="4"/>
      <c r="F3" s="3" t="s">
        <v>50</v>
      </c>
      <c r="G3" s="4"/>
      <c r="H3" s="4"/>
      <c r="I3" s="4"/>
      <c r="J3" s="3" t="s">
        <v>53</v>
      </c>
      <c r="K3" s="4"/>
      <c r="L3" s="4"/>
      <c r="M3" s="3" t="s">
        <v>54</v>
      </c>
      <c r="N3" s="4"/>
      <c r="O3" s="4"/>
      <c r="P3" s="3" t="s">
        <v>56</v>
      </c>
      <c r="Q3" s="4"/>
      <c r="R3" s="3" t="s">
        <v>16</v>
      </c>
      <c r="S3" s="4"/>
      <c r="T3" s="3" t="s">
        <v>18</v>
      </c>
      <c r="U3" s="4"/>
      <c r="V3" s="3" t="s">
        <v>58</v>
      </c>
      <c r="W3" s="4"/>
      <c r="X3" s="3" t="s">
        <v>59</v>
      </c>
      <c r="Y3" s="4"/>
      <c r="Z3" s="3" t="s">
        <v>60</v>
      </c>
      <c r="AA3" s="4"/>
      <c r="AB3" s="3" t="s">
        <v>42</v>
      </c>
      <c r="AC3" s="4"/>
      <c r="AD3" s="3" t="s">
        <v>61</v>
      </c>
    </row>
    <row r="4" ht="15.0" customHeight="1">
      <c r="A4" s="12" t="s">
        <v>63</v>
      </c>
      <c r="B4" s="4"/>
      <c r="C4" s="12" t="s">
        <v>64</v>
      </c>
      <c r="D4" s="12" t="s">
        <v>65</v>
      </c>
      <c r="E4" s="4"/>
      <c r="F4" s="12" t="s">
        <v>66</v>
      </c>
      <c r="G4" s="12" t="s">
        <v>67</v>
      </c>
      <c r="H4" s="12" t="s">
        <v>68</v>
      </c>
      <c r="I4" s="4"/>
      <c r="J4" s="12" t="s">
        <v>67</v>
      </c>
      <c r="K4" s="12" t="s">
        <v>69</v>
      </c>
      <c r="L4" s="4"/>
      <c r="M4" s="12" t="s">
        <v>67</v>
      </c>
      <c r="N4" s="12" t="s">
        <v>70</v>
      </c>
      <c r="O4" s="4"/>
      <c r="P4" s="12" t="s">
        <v>56</v>
      </c>
      <c r="Q4" s="4"/>
      <c r="R4" s="12" t="s">
        <v>16</v>
      </c>
      <c r="S4" s="4"/>
      <c r="T4" s="12" t="s">
        <v>18</v>
      </c>
      <c r="U4" s="4"/>
      <c r="V4" s="12" t="s">
        <v>58</v>
      </c>
      <c r="W4" s="4"/>
      <c r="X4" s="12" t="s">
        <v>59</v>
      </c>
      <c r="Y4" s="4"/>
      <c r="Z4" s="12" t="s">
        <v>60</v>
      </c>
      <c r="AA4" s="4"/>
      <c r="AB4" s="12" t="s">
        <v>42</v>
      </c>
      <c r="AC4" s="4"/>
      <c r="AD4" s="12" t="s">
        <v>66</v>
      </c>
    </row>
    <row r="5" ht="15.0" customHeight="1">
      <c r="A5" s="15" t="s">
        <v>52</v>
      </c>
      <c r="B5" s="4"/>
      <c r="C5" s="15" t="s">
        <v>76</v>
      </c>
      <c r="D5" s="15" t="s">
        <v>77</v>
      </c>
      <c r="E5" s="4"/>
      <c r="F5" s="15" t="s">
        <v>80</v>
      </c>
      <c r="G5" s="15" t="s">
        <v>81</v>
      </c>
      <c r="H5" s="15" t="s">
        <v>82</v>
      </c>
      <c r="I5" s="4"/>
      <c r="J5" s="15" t="s">
        <v>83</v>
      </c>
      <c r="K5" s="15" t="s">
        <v>84</v>
      </c>
      <c r="L5" s="4"/>
      <c r="M5" s="15" t="s">
        <v>81</v>
      </c>
      <c r="N5" s="15" t="s">
        <v>86</v>
      </c>
      <c r="O5" s="4"/>
      <c r="P5" s="15" t="s">
        <v>55</v>
      </c>
      <c r="Q5" s="4"/>
      <c r="R5" s="15" t="s">
        <v>87</v>
      </c>
      <c r="S5" s="4"/>
      <c r="T5" s="15" t="s">
        <v>8</v>
      </c>
      <c r="U5" s="4"/>
      <c r="V5" s="15" t="s">
        <v>88</v>
      </c>
      <c r="W5" s="4"/>
      <c r="X5" s="15" t="s">
        <v>89</v>
      </c>
      <c r="Y5" s="4"/>
      <c r="Z5" s="15" t="s">
        <v>90</v>
      </c>
      <c r="AA5" s="4"/>
      <c r="AB5" s="15" t="s">
        <v>91</v>
      </c>
      <c r="AC5" s="4"/>
      <c r="AD5" s="15" t="s">
        <v>80</v>
      </c>
    </row>
    <row r="6" ht="15.0" customHeight="1">
      <c r="A6" s="15" t="s">
        <v>92</v>
      </c>
      <c r="B6" s="4"/>
      <c r="C6" s="15" t="s">
        <v>93</v>
      </c>
      <c r="D6" s="15" t="s">
        <v>94</v>
      </c>
      <c r="E6" s="4"/>
      <c r="F6" s="15" t="s">
        <v>85</v>
      </c>
      <c r="G6" s="15" t="s">
        <v>95</v>
      </c>
      <c r="H6" s="15" t="s">
        <v>96</v>
      </c>
      <c r="I6" s="4"/>
      <c r="J6" s="15" t="s">
        <v>97</v>
      </c>
      <c r="K6" s="15" t="s">
        <v>98</v>
      </c>
      <c r="L6" s="4"/>
      <c r="M6" s="15" t="s">
        <v>95</v>
      </c>
      <c r="N6" s="15" t="s">
        <v>100</v>
      </c>
      <c r="O6" s="4"/>
      <c r="P6" s="15" t="s">
        <v>57</v>
      </c>
      <c r="Q6" s="4"/>
      <c r="R6" s="15" t="s">
        <v>101</v>
      </c>
      <c r="S6" s="4"/>
      <c r="T6" s="15" t="s">
        <v>10</v>
      </c>
      <c r="U6" s="4"/>
      <c r="V6" s="15" t="s">
        <v>105</v>
      </c>
      <c r="W6" s="4"/>
      <c r="X6" s="15" t="s">
        <v>106</v>
      </c>
      <c r="Y6" s="4"/>
      <c r="Z6" s="15" t="s">
        <v>106</v>
      </c>
      <c r="AA6" s="4"/>
      <c r="AB6" s="15" t="s">
        <v>108</v>
      </c>
      <c r="AC6" s="4"/>
      <c r="AD6" s="15" t="s">
        <v>85</v>
      </c>
    </row>
    <row r="7" ht="15.0" customHeight="1">
      <c r="A7" s="15" t="s">
        <v>109</v>
      </c>
      <c r="B7" s="4"/>
      <c r="C7" s="15" t="s">
        <v>111</v>
      </c>
      <c r="D7" s="15" t="s">
        <v>112</v>
      </c>
      <c r="E7" s="4"/>
      <c r="F7" s="15" t="s">
        <v>114</v>
      </c>
      <c r="G7" s="15" t="s">
        <v>115</v>
      </c>
      <c r="H7" s="15" t="s">
        <v>116</v>
      </c>
      <c r="I7" s="4"/>
      <c r="J7" s="15" t="s">
        <v>118</v>
      </c>
      <c r="K7" s="15" t="s">
        <v>120</v>
      </c>
      <c r="L7" s="4"/>
      <c r="M7" s="15" t="s">
        <v>115</v>
      </c>
      <c r="N7" s="15" t="s">
        <v>121</v>
      </c>
      <c r="O7" s="4"/>
      <c r="P7" s="4"/>
      <c r="Q7" s="4"/>
      <c r="R7" s="4"/>
      <c r="S7" s="4"/>
      <c r="T7" s="15" t="s">
        <v>11</v>
      </c>
      <c r="U7" s="4"/>
      <c r="V7" s="15" t="s">
        <v>124</v>
      </c>
      <c r="W7" s="4"/>
      <c r="X7" s="15" t="s">
        <v>125</v>
      </c>
      <c r="Y7" s="4"/>
      <c r="Z7" s="15" t="s">
        <v>126</v>
      </c>
      <c r="AA7" s="4"/>
      <c r="AB7" s="15" t="s">
        <v>129</v>
      </c>
      <c r="AC7" s="4"/>
      <c r="AD7" s="15" t="s">
        <v>114</v>
      </c>
    </row>
    <row r="8" ht="15.0" customHeight="1">
      <c r="A8" s="15" t="s">
        <v>71</v>
      </c>
      <c r="B8" s="4"/>
      <c r="C8" s="15" t="s">
        <v>132</v>
      </c>
      <c r="D8" s="15" t="s">
        <v>135</v>
      </c>
      <c r="E8" s="4"/>
      <c r="F8" s="15" t="s">
        <v>136</v>
      </c>
      <c r="G8" s="15" t="s">
        <v>137</v>
      </c>
      <c r="H8" s="15" t="s">
        <v>139</v>
      </c>
      <c r="I8" s="4"/>
      <c r="J8" s="15" t="s">
        <v>140</v>
      </c>
      <c r="K8" s="15" t="s">
        <v>141</v>
      </c>
      <c r="L8" s="4"/>
      <c r="M8" s="15" t="s">
        <v>142</v>
      </c>
      <c r="N8" s="15" t="s">
        <v>143</v>
      </c>
      <c r="O8" s="4"/>
      <c r="P8" s="4"/>
      <c r="Q8" s="4"/>
      <c r="R8" s="4"/>
      <c r="S8" s="4"/>
      <c r="T8" s="15" t="s">
        <v>12</v>
      </c>
      <c r="U8" s="4"/>
      <c r="V8" s="4"/>
      <c r="W8" s="4"/>
      <c r="X8" s="4"/>
      <c r="Y8" s="4"/>
      <c r="Z8" s="4"/>
      <c r="AA8" s="4"/>
      <c r="AB8" s="4"/>
      <c r="AC8" s="4"/>
      <c r="AD8" s="15" t="s">
        <v>136</v>
      </c>
    </row>
    <row r="9" ht="15.0" customHeight="1">
      <c r="A9" s="4"/>
      <c r="B9" s="4"/>
      <c r="C9" s="15" t="s">
        <v>146</v>
      </c>
      <c r="D9" s="15" t="s">
        <v>147</v>
      </c>
      <c r="E9" s="4"/>
      <c r="F9" s="15" t="s">
        <v>148</v>
      </c>
      <c r="G9" s="15" t="s">
        <v>149</v>
      </c>
      <c r="H9" s="15" t="s">
        <v>150</v>
      </c>
      <c r="I9" s="4"/>
      <c r="J9" s="15" t="s">
        <v>152</v>
      </c>
      <c r="K9" s="15" t="s">
        <v>154</v>
      </c>
      <c r="L9" s="4"/>
      <c r="M9" s="15" t="s">
        <v>155</v>
      </c>
      <c r="N9" s="15" t="s">
        <v>156</v>
      </c>
      <c r="O9" s="4"/>
      <c r="P9" s="4"/>
      <c r="Q9" s="4"/>
      <c r="R9" s="4"/>
      <c r="S9" s="4"/>
      <c r="T9" s="15" t="s">
        <v>159</v>
      </c>
      <c r="U9" s="4"/>
      <c r="V9" s="4"/>
      <c r="W9" s="4"/>
      <c r="X9" s="4"/>
      <c r="Y9" s="4"/>
      <c r="Z9" s="4"/>
      <c r="AA9" s="4"/>
      <c r="AB9" s="4"/>
      <c r="AC9" s="4"/>
      <c r="AD9" s="15" t="s">
        <v>148</v>
      </c>
    </row>
    <row r="10" ht="15.0" customHeight="1">
      <c r="A10" s="4"/>
      <c r="B10" s="4"/>
      <c r="C10" s="15" t="s">
        <v>163</v>
      </c>
      <c r="D10" s="15" t="s">
        <v>164</v>
      </c>
      <c r="E10" s="4"/>
      <c r="F10" s="15" t="s">
        <v>165</v>
      </c>
      <c r="G10" s="15" t="s">
        <v>166</v>
      </c>
      <c r="H10" s="15" t="s">
        <v>167</v>
      </c>
      <c r="I10" s="4"/>
      <c r="J10" s="15" t="s">
        <v>168</v>
      </c>
      <c r="K10" s="15" t="s">
        <v>169</v>
      </c>
      <c r="L10" s="4"/>
      <c r="M10" s="15" t="s">
        <v>170</v>
      </c>
      <c r="N10" s="15" t="s">
        <v>173</v>
      </c>
      <c r="O10" s="4"/>
      <c r="P10" s="4"/>
      <c r="Q10" s="4"/>
      <c r="R10" s="4"/>
      <c r="S10" s="4"/>
      <c r="T10" s="15" t="s">
        <v>176</v>
      </c>
      <c r="U10" s="4"/>
      <c r="V10" s="4"/>
      <c r="W10" s="4"/>
      <c r="X10" s="4"/>
      <c r="Y10" s="4"/>
      <c r="Z10" s="4"/>
      <c r="AA10" s="4"/>
      <c r="AB10" s="4"/>
      <c r="AC10" s="4"/>
      <c r="AD10" s="15" t="s">
        <v>165</v>
      </c>
    </row>
    <row r="11" ht="15.0" customHeight="1">
      <c r="A11" s="4"/>
      <c r="B11" s="4"/>
      <c r="C11" s="15" t="s">
        <v>178</v>
      </c>
      <c r="D11" s="15" t="s">
        <v>179</v>
      </c>
      <c r="E11" s="4"/>
      <c r="F11" s="15" t="s">
        <v>180</v>
      </c>
      <c r="G11" s="15" t="s">
        <v>181</v>
      </c>
      <c r="H11" s="15" t="s">
        <v>182</v>
      </c>
      <c r="I11" s="4"/>
      <c r="J11" s="15" t="s">
        <v>183</v>
      </c>
      <c r="K11" s="15" t="s">
        <v>185</v>
      </c>
      <c r="L11" s="4"/>
      <c r="M11" s="15" t="s">
        <v>186</v>
      </c>
      <c r="N11" s="15" t="s">
        <v>187</v>
      </c>
      <c r="O11" s="4"/>
      <c r="P11" s="4"/>
      <c r="Q11" s="4"/>
      <c r="R11" s="4"/>
      <c r="S11" s="4"/>
      <c r="T11" s="4"/>
      <c r="U11" s="4"/>
      <c r="V11" s="4"/>
      <c r="W11" s="4"/>
      <c r="X11" s="4"/>
      <c r="Y11" s="4"/>
      <c r="Z11" s="4"/>
      <c r="AA11" s="4"/>
      <c r="AB11" s="4"/>
      <c r="AC11" s="4"/>
      <c r="AD11" s="15" t="s">
        <v>180</v>
      </c>
    </row>
    <row r="12" ht="15.0" customHeight="1">
      <c r="A12" s="4"/>
      <c r="B12" s="4"/>
      <c r="C12" s="15" t="s">
        <v>191</v>
      </c>
      <c r="D12" s="15" t="s">
        <v>192</v>
      </c>
      <c r="E12" s="4"/>
      <c r="F12" s="15" t="s">
        <v>194</v>
      </c>
      <c r="G12" s="15" t="s">
        <v>142</v>
      </c>
      <c r="H12" s="15" t="s">
        <v>195</v>
      </c>
      <c r="I12" s="4"/>
      <c r="J12" s="4"/>
      <c r="K12" s="4"/>
      <c r="L12" s="4"/>
      <c r="M12" s="15" t="s">
        <v>196</v>
      </c>
      <c r="N12" s="15" t="s">
        <v>197</v>
      </c>
      <c r="O12" s="4"/>
      <c r="P12" s="4"/>
      <c r="Q12" s="4"/>
      <c r="R12" s="4"/>
      <c r="S12" s="4"/>
      <c r="T12" s="4"/>
      <c r="U12" s="4"/>
      <c r="V12" s="4"/>
      <c r="W12" s="4"/>
      <c r="X12" s="4"/>
      <c r="Y12" s="4"/>
      <c r="Z12" s="4"/>
      <c r="AA12" s="4"/>
      <c r="AB12" s="4"/>
      <c r="AC12" s="4"/>
      <c r="AD12" s="15" t="s">
        <v>194</v>
      </c>
    </row>
    <row r="13" ht="15.0" customHeight="1">
      <c r="A13" s="4"/>
      <c r="B13" s="4"/>
      <c r="C13" s="15" t="s">
        <v>200</v>
      </c>
      <c r="D13" s="15" t="s">
        <v>201</v>
      </c>
      <c r="E13" s="4"/>
      <c r="F13" s="15" t="s">
        <v>202</v>
      </c>
      <c r="G13" s="15" t="s">
        <v>155</v>
      </c>
      <c r="H13" s="15" t="s">
        <v>203</v>
      </c>
      <c r="I13" s="4"/>
      <c r="J13" s="4"/>
      <c r="K13" s="4"/>
      <c r="L13" s="4"/>
      <c r="M13" s="15" t="s">
        <v>205</v>
      </c>
      <c r="N13" s="15" t="s">
        <v>206</v>
      </c>
      <c r="O13" s="4"/>
      <c r="P13" s="4"/>
      <c r="Q13" s="4"/>
      <c r="R13" s="4"/>
      <c r="S13" s="4"/>
      <c r="T13" s="4"/>
      <c r="U13" s="4"/>
      <c r="V13" s="4"/>
      <c r="W13" s="4"/>
      <c r="X13" s="4"/>
      <c r="Y13" s="4"/>
      <c r="Z13" s="4"/>
      <c r="AA13" s="4"/>
      <c r="AB13" s="4"/>
      <c r="AC13" s="4"/>
      <c r="AD13" s="15" t="s">
        <v>202</v>
      </c>
    </row>
    <row r="14" ht="15.0" customHeight="1">
      <c r="A14" s="4"/>
      <c r="B14" s="4"/>
      <c r="C14" s="15" t="s">
        <v>210</v>
      </c>
      <c r="D14" s="15" t="s">
        <v>212</v>
      </c>
      <c r="E14" s="4"/>
      <c r="F14" s="15" t="s">
        <v>213</v>
      </c>
      <c r="G14" s="15" t="s">
        <v>214</v>
      </c>
      <c r="H14" s="15" t="s">
        <v>215</v>
      </c>
      <c r="I14" s="4"/>
      <c r="J14" s="4"/>
      <c r="K14" s="4"/>
      <c r="L14" s="4"/>
      <c r="M14" s="15" t="s">
        <v>216</v>
      </c>
      <c r="N14" s="15" t="s">
        <v>217</v>
      </c>
      <c r="O14" s="4"/>
      <c r="P14" s="4"/>
      <c r="Q14" s="4"/>
      <c r="R14" s="4"/>
      <c r="S14" s="4"/>
      <c r="T14" s="4"/>
      <c r="U14" s="4"/>
      <c r="V14" s="4"/>
      <c r="W14" s="4"/>
      <c r="X14" s="4"/>
      <c r="Y14" s="4"/>
      <c r="Z14" s="4"/>
      <c r="AA14" s="4"/>
      <c r="AB14" s="4"/>
      <c r="AC14" s="4"/>
      <c r="AD14" s="15" t="s">
        <v>213</v>
      </c>
    </row>
    <row r="15" ht="15.0" customHeight="1">
      <c r="A15" s="4"/>
      <c r="B15" s="4"/>
      <c r="C15" s="15" t="s">
        <v>46</v>
      </c>
      <c r="D15" s="15" t="s">
        <v>219</v>
      </c>
      <c r="E15" s="4"/>
      <c r="F15" s="15" t="s">
        <v>220</v>
      </c>
      <c r="G15" s="15" t="s">
        <v>221</v>
      </c>
      <c r="H15" s="15" t="s">
        <v>222</v>
      </c>
      <c r="I15" s="4"/>
      <c r="J15" s="4"/>
      <c r="K15" s="4"/>
      <c r="L15" s="4"/>
      <c r="M15" s="15" t="s">
        <v>223</v>
      </c>
      <c r="N15" s="15" t="s">
        <v>224</v>
      </c>
      <c r="O15" s="4"/>
      <c r="P15" s="4"/>
      <c r="Q15" s="4"/>
      <c r="R15" s="4"/>
      <c r="S15" s="4"/>
      <c r="T15" s="4"/>
      <c r="U15" s="4"/>
      <c r="V15" s="4"/>
      <c r="W15" s="4"/>
      <c r="X15" s="4"/>
      <c r="Y15" s="4"/>
      <c r="Z15" s="4"/>
      <c r="AA15" s="4"/>
      <c r="AB15" s="4"/>
      <c r="AC15" s="4"/>
      <c r="AD15" s="15" t="s">
        <v>220</v>
      </c>
    </row>
    <row r="16" ht="15.0" customHeight="1">
      <c r="A16" s="4"/>
      <c r="B16" s="4"/>
      <c r="C16" s="15" t="s">
        <v>79</v>
      </c>
      <c r="D16" s="15" t="s">
        <v>229</v>
      </c>
      <c r="E16" s="4"/>
      <c r="F16" s="15" t="s">
        <v>138</v>
      </c>
      <c r="G16" s="15" t="s">
        <v>170</v>
      </c>
      <c r="H16" s="15" t="s">
        <v>230</v>
      </c>
      <c r="I16" s="4"/>
      <c r="J16" s="4"/>
      <c r="K16" s="4"/>
      <c r="L16" s="4"/>
      <c r="M16" s="15" t="s">
        <v>231</v>
      </c>
      <c r="N16" s="15" t="s">
        <v>232</v>
      </c>
      <c r="O16" s="4"/>
      <c r="P16" s="4"/>
      <c r="Q16" s="4"/>
      <c r="R16" s="4"/>
      <c r="S16" s="4"/>
      <c r="T16" s="4"/>
      <c r="U16" s="4"/>
      <c r="V16" s="4"/>
      <c r="W16" s="4"/>
      <c r="X16" s="4"/>
      <c r="Y16" s="4"/>
      <c r="Z16" s="4"/>
      <c r="AA16" s="4"/>
      <c r="AB16" s="4"/>
      <c r="AC16" s="4"/>
      <c r="AD16" s="15" t="s">
        <v>138</v>
      </c>
    </row>
    <row r="17" ht="15.0" customHeight="1">
      <c r="A17" s="4"/>
      <c r="B17" s="4"/>
      <c r="C17" s="15" t="s">
        <v>233</v>
      </c>
      <c r="D17" s="15" t="s">
        <v>234</v>
      </c>
      <c r="E17" s="4"/>
      <c r="F17" s="15" t="s">
        <v>107</v>
      </c>
      <c r="G17" s="15" t="s">
        <v>186</v>
      </c>
      <c r="H17" s="15" t="s">
        <v>235</v>
      </c>
      <c r="I17" s="4"/>
      <c r="J17" s="4"/>
      <c r="K17" s="4"/>
      <c r="L17" s="4"/>
      <c r="M17" s="15" t="s">
        <v>236</v>
      </c>
      <c r="N17" s="15" t="s">
        <v>238</v>
      </c>
      <c r="O17" s="4"/>
      <c r="P17" s="4"/>
      <c r="Q17" s="4"/>
      <c r="R17" s="4"/>
      <c r="S17" s="4"/>
      <c r="T17" s="4"/>
      <c r="U17" s="4"/>
      <c r="V17" s="4"/>
      <c r="W17" s="4"/>
      <c r="X17" s="4"/>
      <c r="Y17" s="4"/>
      <c r="Z17" s="4"/>
      <c r="AA17" s="4"/>
      <c r="AB17" s="4"/>
      <c r="AC17" s="4"/>
      <c r="AD17" s="15" t="s">
        <v>107</v>
      </c>
    </row>
    <row r="18" ht="15.0" customHeight="1">
      <c r="A18" s="4"/>
      <c r="B18" s="4"/>
      <c r="C18" s="4"/>
      <c r="D18" s="4"/>
      <c r="E18" s="4"/>
      <c r="F18" s="15" t="s">
        <v>243</v>
      </c>
      <c r="G18" s="15" t="s">
        <v>244</v>
      </c>
      <c r="H18" s="15" t="s">
        <v>245</v>
      </c>
      <c r="I18" s="4"/>
      <c r="J18" s="4"/>
      <c r="K18" s="4"/>
      <c r="L18" s="4"/>
      <c r="M18" s="15" t="s">
        <v>246</v>
      </c>
      <c r="N18" s="15" t="s">
        <v>248</v>
      </c>
      <c r="O18" s="4"/>
      <c r="P18" s="4"/>
      <c r="Q18" s="4"/>
      <c r="R18" s="4"/>
      <c r="S18" s="4"/>
      <c r="T18" s="4"/>
      <c r="U18" s="4"/>
      <c r="V18" s="4"/>
      <c r="W18" s="4"/>
      <c r="X18" s="4"/>
      <c r="Y18" s="4"/>
      <c r="Z18" s="4"/>
      <c r="AA18" s="4"/>
      <c r="AB18" s="4"/>
      <c r="AC18" s="4"/>
      <c r="AD18" s="15" t="s">
        <v>243</v>
      </c>
    </row>
    <row r="19" ht="15.0" customHeight="1">
      <c r="A19" s="4"/>
      <c r="B19" s="4"/>
      <c r="C19" s="4"/>
      <c r="D19" s="4"/>
      <c r="E19" s="4"/>
      <c r="F19" s="15" t="s">
        <v>250</v>
      </c>
      <c r="G19" s="15" t="s">
        <v>251</v>
      </c>
      <c r="H19" s="15" t="s">
        <v>252</v>
      </c>
      <c r="I19" s="4"/>
      <c r="J19" s="4"/>
      <c r="K19" s="4"/>
      <c r="L19" s="4"/>
      <c r="M19" s="15" t="s">
        <v>253</v>
      </c>
      <c r="N19" s="15" t="s">
        <v>254</v>
      </c>
      <c r="O19" s="4"/>
      <c r="P19" s="4"/>
      <c r="Q19" s="4"/>
      <c r="R19" s="4"/>
      <c r="S19" s="4"/>
      <c r="T19" s="4"/>
      <c r="U19" s="4"/>
      <c r="V19" s="4"/>
      <c r="W19" s="4"/>
      <c r="X19" s="4"/>
      <c r="Y19" s="4"/>
      <c r="Z19" s="4"/>
      <c r="AA19" s="4"/>
      <c r="AB19" s="4"/>
      <c r="AC19" s="4"/>
      <c r="AD19" s="15" t="s">
        <v>250</v>
      </c>
    </row>
    <row r="20" ht="15.0" customHeight="1">
      <c r="A20" s="4"/>
      <c r="B20" s="4"/>
      <c r="C20" s="4"/>
      <c r="D20" s="4"/>
      <c r="E20" s="4"/>
      <c r="F20" s="15" t="s">
        <v>259</v>
      </c>
      <c r="G20" s="15" t="s">
        <v>260</v>
      </c>
      <c r="H20" s="15" t="s">
        <v>261</v>
      </c>
      <c r="I20" s="4"/>
      <c r="J20" s="4"/>
      <c r="K20" s="4"/>
      <c r="L20" s="4"/>
      <c r="M20" s="15" t="s">
        <v>263</v>
      </c>
      <c r="N20" s="15" t="s">
        <v>264</v>
      </c>
      <c r="O20" s="4"/>
      <c r="P20" s="4"/>
      <c r="Q20" s="4"/>
      <c r="R20" s="4"/>
      <c r="S20" s="4"/>
      <c r="T20" s="4"/>
      <c r="U20" s="4"/>
      <c r="V20" s="4"/>
      <c r="W20" s="4"/>
      <c r="X20" s="4"/>
      <c r="Y20" s="4"/>
      <c r="Z20" s="4"/>
      <c r="AA20" s="4"/>
      <c r="AB20" s="4"/>
      <c r="AC20" s="4"/>
      <c r="AD20" s="15" t="s">
        <v>259</v>
      </c>
    </row>
    <row r="21" ht="15.0" customHeight="1">
      <c r="A21" s="4"/>
      <c r="B21" s="4"/>
      <c r="C21" s="4"/>
      <c r="D21" s="4"/>
      <c r="E21" s="4"/>
      <c r="F21" s="15" t="s">
        <v>267</v>
      </c>
      <c r="G21" s="15" t="s">
        <v>268</v>
      </c>
      <c r="H21" s="15" t="s">
        <v>269</v>
      </c>
      <c r="I21" s="4"/>
      <c r="J21" s="4"/>
      <c r="K21" s="4"/>
      <c r="L21" s="4"/>
      <c r="M21" s="15" t="s">
        <v>275</v>
      </c>
      <c r="N21" s="15" t="s">
        <v>277</v>
      </c>
      <c r="O21" s="4"/>
      <c r="P21" s="4"/>
      <c r="Q21" s="4"/>
      <c r="R21" s="4"/>
      <c r="S21" s="4"/>
      <c r="T21" s="4"/>
      <c r="U21" s="4"/>
      <c r="V21" s="4"/>
      <c r="W21" s="4"/>
      <c r="X21" s="4"/>
      <c r="Y21" s="4"/>
      <c r="Z21" s="4"/>
      <c r="AA21" s="4"/>
      <c r="AB21" s="4"/>
      <c r="AC21" s="4"/>
      <c r="AD21" s="15" t="s">
        <v>267</v>
      </c>
    </row>
    <row r="22" ht="15.0" customHeight="1">
      <c r="A22" s="4"/>
      <c r="B22" s="4"/>
      <c r="C22" s="4"/>
      <c r="D22" s="4"/>
      <c r="E22" s="4"/>
      <c r="F22" s="15" t="s">
        <v>48</v>
      </c>
      <c r="G22" s="15" t="s">
        <v>196</v>
      </c>
      <c r="H22" s="15" t="s">
        <v>278</v>
      </c>
      <c r="I22" s="4"/>
      <c r="J22" s="4"/>
      <c r="K22" s="4"/>
      <c r="L22" s="4"/>
      <c r="M22" s="15" t="s">
        <v>279</v>
      </c>
      <c r="N22" s="15" t="s">
        <v>280</v>
      </c>
      <c r="O22" s="4"/>
      <c r="P22" s="4"/>
      <c r="Q22" s="4"/>
      <c r="R22" s="4"/>
      <c r="S22" s="4"/>
      <c r="T22" s="4"/>
      <c r="U22" s="4"/>
      <c r="V22" s="4"/>
      <c r="W22" s="4"/>
      <c r="X22" s="4"/>
      <c r="Y22" s="4"/>
      <c r="Z22" s="4"/>
      <c r="AA22" s="4"/>
      <c r="AB22" s="4"/>
      <c r="AC22" s="4"/>
      <c r="AD22" s="15" t="s">
        <v>48</v>
      </c>
    </row>
    <row r="23" ht="15.0" customHeight="1">
      <c r="A23" s="4"/>
      <c r="B23" s="4"/>
      <c r="C23" s="4"/>
      <c r="D23" s="4"/>
      <c r="E23" s="4"/>
      <c r="F23" s="15" t="s">
        <v>286</v>
      </c>
      <c r="G23" s="15" t="s">
        <v>205</v>
      </c>
      <c r="H23" s="15" t="s">
        <v>287</v>
      </c>
      <c r="I23" s="4"/>
      <c r="J23" s="4"/>
      <c r="K23" s="4"/>
      <c r="L23" s="4"/>
      <c r="M23" s="15" t="s">
        <v>288</v>
      </c>
      <c r="N23" s="15" t="s">
        <v>289</v>
      </c>
      <c r="O23" s="4"/>
      <c r="P23" s="4"/>
      <c r="Q23" s="4"/>
      <c r="R23" s="4"/>
      <c r="S23" s="4"/>
      <c r="T23" s="4"/>
      <c r="U23" s="4"/>
      <c r="V23" s="4"/>
      <c r="W23" s="4"/>
      <c r="X23" s="4"/>
      <c r="Y23" s="4"/>
      <c r="Z23" s="4"/>
      <c r="AA23" s="4"/>
      <c r="AB23" s="4"/>
      <c r="AC23" s="4"/>
      <c r="AD23" s="15" t="s">
        <v>286</v>
      </c>
    </row>
    <row r="24" ht="15.0" customHeight="1">
      <c r="A24" s="4"/>
      <c r="B24" s="4"/>
      <c r="C24" s="4"/>
      <c r="D24" s="4"/>
      <c r="E24" s="4"/>
      <c r="F24" s="15" t="s">
        <v>291</v>
      </c>
      <c r="G24" s="15" t="s">
        <v>216</v>
      </c>
      <c r="H24" s="15" t="s">
        <v>293</v>
      </c>
      <c r="I24" s="4"/>
      <c r="J24" s="4"/>
      <c r="K24" s="4"/>
      <c r="L24" s="4"/>
      <c r="M24" s="15" t="s">
        <v>297</v>
      </c>
      <c r="N24" s="15" t="s">
        <v>298</v>
      </c>
      <c r="O24" s="4"/>
      <c r="P24" s="4"/>
      <c r="Q24" s="4"/>
      <c r="R24" s="4"/>
      <c r="S24" s="4"/>
      <c r="T24" s="4"/>
      <c r="U24" s="4"/>
      <c r="V24" s="4"/>
      <c r="W24" s="4"/>
      <c r="X24" s="4"/>
      <c r="Y24" s="4"/>
      <c r="Z24" s="4"/>
      <c r="AA24" s="4"/>
      <c r="AB24" s="4"/>
      <c r="AC24" s="4"/>
      <c r="AD24" s="15" t="s">
        <v>291</v>
      </c>
    </row>
    <row r="25" ht="15.0" customHeight="1">
      <c r="A25" s="4"/>
      <c r="B25" s="4"/>
      <c r="C25" s="4"/>
      <c r="D25" s="4"/>
      <c r="E25" s="4"/>
      <c r="F25" s="15" t="s">
        <v>300</v>
      </c>
      <c r="G25" s="15" t="s">
        <v>301</v>
      </c>
      <c r="H25" s="15" t="s">
        <v>302</v>
      </c>
      <c r="I25" s="4"/>
      <c r="J25" s="4"/>
      <c r="K25" s="4"/>
      <c r="L25" s="4"/>
      <c r="M25" s="15" t="s">
        <v>303</v>
      </c>
      <c r="N25" s="15" t="s">
        <v>304</v>
      </c>
      <c r="O25" s="4"/>
      <c r="P25" s="4"/>
      <c r="Q25" s="4"/>
      <c r="R25" s="4"/>
      <c r="S25" s="4"/>
      <c r="T25" s="4"/>
      <c r="U25" s="4"/>
      <c r="V25" s="4"/>
      <c r="W25" s="4"/>
      <c r="X25" s="4"/>
      <c r="Y25" s="4"/>
      <c r="Z25" s="4"/>
      <c r="AA25" s="4"/>
      <c r="AB25" s="4"/>
      <c r="AC25" s="4"/>
      <c r="AD25" s="15" t="s">
        <v>300</v>
      </c>
    </row>
    <row r="26" ht="15.0" customHeight="1">
      <c r="A26" s="4"/>
      <c r="B26" s="4"/>
      <c r="C26" s="4"/>
      <c r="D26" s="4"/>
      <c r="E26" s="4"/>
      <c r="F26" s="15" t="s">
        <v>306</v>
      </c>
      <c r="G26" s="15" t="s">
        <v>307</v>
      </c>
      <c r="H26" s="15" t="s">
        <v>308</v>
      </c>
      <c r="I26" s="4"/>
      <c r="J26" s="4"/>
      <c r="K26" s="4"/>
      <c r="L26" s="4"/>
      <c r="M26" s="15" t="s">
        <v>309</v>
      </c>
      <c r="N26" s="15" t="s">
        <v>310</v>
      </c>
      <c r="O26" s="4"/>
      <c r="P26" s="4"/>
      <c r="Q26" s="4"/>
      <c r="R26" s="4"/>
      <c r="S26" s="4"/>
      <c r="T26" s="4"/>
      <c r="U26" s="4"/>
      <c r="V26" s="4"/>
      <c r="W26" s="4"/>
      <c r="X26" s="4"/>
      <c r="Y26" s="4"/>
      <c r="Z26" s="4"/>
      <c r="AA26" s="4"/>
      <c r="AB26" s="4"/>
      <c r="AC26" s="4"/>
      <c r="AD26" s="15" t="s">
        <v>306</v>
      </c>
    </row>
    <row r="27" ht="15.0" customHeight="1">
      <c r="A27" s="4"/>
      <c r="B27" s="4"/>
      <c r="C27" s="4"/>
      <c r="D27" s="4"/>
      <c r="E27" s="4"/>
      <c r="F27" s="15" t="s">
        <v>315</v>
      </c>
      <c r="G27" s="15" t="s">
        <v>316</v>
      </c>
      <c r="H27" s="15" t="s">
        <v>317</v>
      </c>
      <c r="I27" s="4"/>
      <c r="J27" s="4"/>
      <c r="K27" s="4"/>
      <c r="L27" s="4"/>
      <c r="M27" s="15" t="s">
        <v>318</v>
      </c>
      <c r="N27" s="15" t="s">
        <v>319</v>
      </c>
      <c r="O27" s="4"/>
      <c r="P27" s="4"/>
      <c r="Q27" s="4"/>
      <c r="R27" s="4"/>
      <c r="S27" s="4"/>
      <c r="T27" s="4"/>
      <c r="U27" s="4"/>
      <c r="V27" s="4"/>
      <c r="W27" s="4"/>
      <c r="X27" s="4"/>
      <c r="Y27" s="4"/>
      <c r="Z27" s="4"/>
      <c r="AA27" s="4"/>
      <c r="AB27" s="4"/>
      <c r="AC27" s="4"/>
      <c r="AD27" s="15" t="s">
        <v>315</v>
      </c>
    </row>
    <row r="28" ht="15.0" customHeight="1">
      <c r="A28" s="4"/>
      <c r="B28" s="4"/>
      <c r="C28" s="4"/>
      <c r="D28" s="4"/>
      <c r="E28" s="4"/>
      <c r="F28" s="4"/>
      <c r="G28" s="4"/>
      <c r="H28" s="4"/>
      <c r="I28" s="4"/>
      <c r="J28" s="4"/>
      <c r="K28" s="4"/>
      <c r="L28" s="4"/>
      <c r="M28" s="15" t="s">
        <v>323</v>
      </c>
      <c r="N28" s="15" t="s">
        <v>324</v>
      </c>
      <c r="O28" s="4"/>
      <c r="P28" s="4"/>
      <c r="Q28" s="4"/>
      <c r="R28" s="4"/>
      <c r="S28" s="4"/>
      <c r="T28" s="4"/>
      <c r="U28" s="4"/>
      <c r="V28" s="4"/>
      <c r="W28" s="4"/>
      <c r="X28" s="4"/>
      <c r="Y28" s="4"/>
      <c r="Z28" s="4"/>
      <c r="AA28" s="4"/>
      <c r="AB28" s="4"/>
      <c r="AC28" s="4"/>
      <c r="AD28" s="15" t="s">
        <v>328</v>
      </c>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15" t="s">
        <v>330</v>
      </c>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15" t="s">
        <v>332</v>
      </c>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15" t="s">
        <v>337</v>
      </c>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1">
    <mergeCell ref="A1:F1"/>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4" width="46.0"/>
    <col customWidth="1" min="5" max="6" width="8.71"/>
  </cols>
  <sheetData>
    <row r="1" ht="17.25" customHeight="1">
      <c r="A1" s="35" t="s">
        <v>1995</v>
      </c>
      <c r="E1" s="4"/>
      <c r="F1" s="4"/>
      <c r="G1" s="4"/>
      <c r="H1" s="4"/>
      <c r="I1" s="4"/>
      <c r="J1" s="4"/>
      <c r="K1" s="4"/>
      <c r="L1" s="4"/>
      <c r="M1" s="4"/>
      <c r="N1" s="4"/>
      <c r="O1" s="4"/>
      <c r="P1" s="4"/>
      <c r="Q1" s="4"/>
      <c r="R1" s="4"/>
      <c r="S1" s="4"/>
      <c r="T1" s="4"/>
      <c r="U1" s="4"/>
      <c r="V1" s="4"/>
      <c r="W1" s="4"/>
      <c r="X1" s="4"/>
      <c r="Y1" s="4"/>
      <c r="Z1" s="4"/>
    </row>
    <row r="2" ht="45.0" customHeight="1">
      <c r="A2" s="36" t="s">
        <v>2004</v>
      </c>
      <c r="E2" s="4"/>
      <c r="F2" s="4"/>
      <c r="G2" s="4"/>
      <c r="H2" s="4"/>
      <c r="I2" s="4"/>
      <c r="J2" s="4"/>
      <c r="K2" s="4"/>
      <c r="L2" s="4"/>
      <c r="M2" s="4"/>
      <c r="N2" s="4"/>
      <c r="O2" s="4"/>
      <c r="P2" s="4"/>
      <c r="Q2" s="4"/>
      <c r="R2" s="4"/>
      <c r="S2" s="4"/>
      <c r="T2" s="4"/>
      <c r="U2" s="4"/>
      <c r="V2" s="4"/>
      <c r="W2" s="4"/>
      <c r="X2" s="4"/>
      <c r="Y2" s="4"/>
      <c r="Z2" s="4"/>
    </row>
    <row r="3" ht="15.0" customHeight="1">
      <c r="A3" s="4"/>
      <c r="B3" s="4"/>
      <c r="C3" s="4"/>
      <c r="D3" s="4"/>
      <c r="E3" s="4"/>
      <c r="F3" s="4"/>
      <c r="G3" s="4"/>
      <c r="H3" s="4"/>
      <c r="I3" s="4"/>
      <c r="J3" s="4"/>
      <c r="K3" s="4"/>
      <c r="L3" s="4"/>
      <c r="M3" s="4"/>
      <c r="N3" s="4"/>
      <c r="O3" s="4"/>
      <c r="P3" s="4"/>
      <c r="Q3" s="4"/>
      <c r="R3" s="4"/>
      <c r="S3" s="4"/>
      <c r="T3" s="4"/>
      <c r="U3" s="4"/>
      <c r="V3" s="4"/>
      <c r="W3" s="4"/>
      <c r="X3" s="4"/>
      <c r="Y3" s="4"/>
      <c r="Z3" s="4"/>
    </row>
    <row r="4" ht="15.0" customHeight="1">
      <c r="A4" s="3" t="s">
        <v>2008</v>
      </c>
      <c r="E4" s="4"/>
      <c r="F4" s="4"/>
      <c r="G4" s="4"/>
      <c r="H4" s="4"/>
      <c r="I4" s="4"/>
      <c r="J4" s="4"/>
      <c r="K4" s="4"/>
      <c r="L4" s="4"/>
      <c r="M4" s="4"/>
      <c r="N4" s="4"/>
      <c r="O4" s="4"/>
      <c r="P4" s="4"/>
      <c r="Q4" s="4"/>
      <c r="R4" s="4"/>
      <c r="S4" s="4"/>
      <c r="T4" s="4"/>
      <c r="U4" s="4"/>
      <c r="V4" s="4"/>
      <c r="W4" s="4"/>
      <c r="X4" s="4"/>
      <c r="Y4" s="4"/>
      <c r="Z4" s="4"/>
    </row>
    <row r="5" ht="31.5" customHeight="1">
      <c r="A5" s="36" t="s">
        <v>2013</v>
      </c>
      <c r="E5" s="4"/>
      <c r="F5" s="4"/>
      <c r="G5" s="4"/>
      <c r="H5" s="4"/>
      <c r="I5" s="4"/>
      <c r="J5" s="4"/>
      <c r="K5" s="4"/>
      <c r="L5" s="4"/>
      <c r="M5" s="4"/>
      <c r="N5" s="4"/>
      <c r="O5" s="4"/>
      <c r="P5" s="4"/>
      <c r="Q5" s="4"/>
      <c r="R5" s="4"/>
      <c r="S5" s="4"/>
      <c r="T5" s="4"/>
      <c r="U5" s="4"/>
      <c r="V5" s="4"/>
      <c r="W5" s="4"/>
      <c r="X5" s="4"/>
      <c r="Y5" s="4"/>
      <c r="Z5" s="4"/>
    </row>
    <row r="6" ht="15.0" customHeight="1">
      <c r="A6" s="37" t="s">
        <v>2016</v>
      </c>
      <c r="B6" s="37" t="s">
        <v>88</v>
      </c>
      <c r="C6" s="37" t="s">
        <v>105</v>
      </c>
      <c r="D6" s="37" t="s">
        <v>124</v>
      </c>
      <c r="E6" s="4"/>
      <c r="F6" s="4"/>
      <c r="G6" s="4"/>
      <c r="H6" s="4"/>
      <c r="I6" s="4"/>
      <c r="J6" s="4"/>
      <c r="K6" s="4"/>
      <c r="L6" s="4"/>
      <c r="M6" s="4"/>
      <c r="N6" s="4"/>
      <c r="O6" s="4"/>
      <c r="P6" s="4"/>
      <c r="Q6" s="4"/>
      <c r="R6" s="4"/>
      <c r="S6" s="4"/>
      <c r="T6" s="4"/>
      <c r="U6" s="4"/>
      <c r="V6" s="4"/>
      <c r="W6" s="4"/>
      <c r="X6" s="4"/>
      <c r="Y6" s="4"/>
      <c r="Z6" s="4"/>
    </row>
    <row r="7" ht="42.0" customHeight="1">
      <c r="A7" s="38" t="s">
        <v>2018</v>
      </c>
      <c r="B7" s="39" t="s">
        <v>2019</v>
      </c>
      <c r="C7" s="39" t="s">
        <v>2020</v>
      </c>
      <c r="D7" s="39" t="s">
        <v>2021</v>
      </c>
      <c r="E7" s="4"/>
      <c r="F7" s="4"/>
      <c r="G7" s="4"/>
      <c r="H7" s="4"/>
      <c r="I7" s="4"/>
      <c r="J7" s="4"/>
      <c r="K7" s="4"/>
      <c r="L7" s="4"/>
      <c r="M7" s="4"/>
      <c r="N7" s="4"/>
      <c r="O7" s="4"/>
      <c r="P7" s="4"/>
      <c r="Q7" s="4"/>
      <c r="R7" s="4"/>
      <c r="S7" s="4"/>
      <c r="T7" s="4"/>
      <c r="U7" s="4"/>
      <c r="V7" s="4"/>
      <c r="W7" s="4"/>
      <c r="X7" s="4"/>
      <c r="Y7" s="4"/>
      <c r="Z7" s="4"/>
    </row>
    <row r="8" ht="42.0" customHeight="1">
      <c r="A8" s="38" t="s">
        <v>2025</v>
      </c>
      <c r="B8" s="39" t="s">
        <v>2026</v>
      </c>
      <c r="C8" s="39" t="s">
        <v>2027</v>
      </c>
      <c r="D8" s="39" t="s">
        <v>2028</v>
      </c>
      <c r="E8" s="4"/>
      <c r="F8" s="4"/>
      <c r="G8" s="4"/>
      <c r="H8" s="4"/>
      <c r="I8" s="4"/>
      <c r="J8" s="4"/>
      <c r="K8" s="4"/>
      <c r="L8" s="4"/>
      <c r="M8" s="4"/>
      <c r="N8" s="4"/>
      <c r="O8" s="4"/>
      <c r="P8" s="4"/>
      <c r="Q8" s="4"/>
      <c r="R8" s="4"/>
      <c r="S8" s="4"/>
      <c r="T8" s="4"/>
      <c r="U8" s="4"/>
      <c r="V8" s="4"/>
      <c r="W8" s="4"/>
      <c r="X8" s="4"/>
      <c r="Y8" s="4"/>
      <c r="Z8" s="4"/>
    </row>
    <row r="9" ht="42.0" customHeight="1">
      <c r="A9" s="38" t="s">
        <v>2029</v>
      </c>
      <c r="B9" s="39" t="s">
        <v>2030</v>
      </c>
      <c r="C9" s="39" t="s">
        <v>2031</v>
      </c>
      <c r="D9" s="39" t="s">
        <v>2032</v>
      </c>
      <c r="E9" s="4"/>
      <c r="F9" s="4"/>
      <c r="G9" s="4"/>
      <c r="H9" s="4"/>
      <c r="I9" s="4"/>
      <c r="J9" s="4"/>
      <c r="K9" s="4"/>
      <c r="L9" s="4"/>
      <c r="M9" s="4"/>
      <c r="N9" s="4"/>
      <c r="O9" s="4"/>
      <c r="P9" s="4"/>
      <c r="Q9" s="4"/>
      <c r="R9" s="4"/>
      <c r="S9" s="4"/>
      <c r="T9" s="4"/>
      <c r="U9" s="4"/>
      <c r="V9" s="4"/>
      <c r="W9" s="4"/>
      <c r="X9" s="4"/>
      <c r="Y9" s="4"/>
      <c r="Z9" s="4"/>
    </row>
    <row r="10" ht="42.0" customHeight="1">
      <c r="A10" s="38" t="s">
        <v>2036</v>
      </c>
      <c r="B10" s="39" t="s">
        <v>2037</v>
      </c>
      <c r="C10" s="39" t="s">
        <v>2038</v>
      </c>
      <c r="D10" s="39" t="s">
        <v>2039</v>
      </c>
      <c r="E10" s="4"/>
      <c r="F10" s="4"/>
      <c r="G10" s="4"/>
      <c r="H10" s="4"/>
      <c r="I10" s="4"/>
      <c r="J10" s="4"/>
      <c r="K10" s="4"/>
      <c r="L10" s="4"/>
      <c r="M10" s="4"/>
      <c r="N10" s="4"/>
      <c r="O10" s="4"/>
      <c r="P10" s="4"/>
      <c r="Q10" s="4"/>
      <c r="R10" s="4"/>
      <c r="S10" s="4"/>
      <c r="T10" s="4"/>
      <c r="U10" s="4"/>
      <c r="V10" s="4"/>
      <c r="W10" s="4"/>
      <c r="X10" s="4"/>
      <c r="Y10" s="4"/>
      <c r="Z10" s="4"/>
    </row>
    <row r="11" ht="42.0" customHeight="1">
      <c r="A11" s="38" t="s">
        <v>2040</v>
      </c>
      <c r="B11" s="39" t="s">
        <v>2041</v>
      </c>
      <c r="C11" s="39" t="s">
        <v>2042</v>
      </c>
      <c r="D11" s="39" t="s">
        <v>2043</v>
      </c>
      <c r="E11" s="4"/>
      <c r="F11" s="4"/>
      <c r="G11" s="4"/>
      <c r="H11" s="4"/>
      <c r="I11" s="4"/>
      <c r="J11" s="4"/>
      <c r="K11" s="4"/>
      <c r="L11" s="4"/>
      <c r="M11" s="4"/>
      <c r="N11" s="4"/>
      <c r="O11" s="4"/>
      <c r="P11" s="4"/>
      <c r="Q11" s="4"/>
      <c r="R11" s="4"/>
      <c r="S11" s="4"/>
      <c r="T11" s="4"/>
      <c r="U11" s="4"/>
      <c r="V11" s="4"/>
      <c r="W11" s="4"/>
      <c r="X11" s="4"/>
      <c r="Y11" s="4"/>
      <c r="Z11" s="4"/>
    </row>
    <row r="12" ht="15.0"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ht="15.0" customHeight="1">
      <c r="A13" s="3" t="s">
        <v>2044</v>
      </c>
      <c r="E13" s="4"/>
      <c r="F13" s="4"/>
      <c r="G13" s="4"/>
      <c r="H13" s="4"/>
      <c r="I13" s="4"/>
      <c r="J13" s="4"/>
      <c r="K13" s="4"/>
      <c r="L13" s="4"/>
      <c r="M13" s="4"/>
      <c r="N13" s="4"/>
      <c r="O13" s="4"/>
      <c r="P13" s="4"/>
      <c r="Q13" s="4"/>
      <c r="R13" s="4"/>
      <c r="S13" s="4"/>
      <c r="T13" s="4"/>
      <c r="U13" s="4"/>
      <c r="V13" s="4"/>
      <c r="W13" s="4"/>
      <c r="X13" s="4"/>
      <c r="Y13" s="4"/>
      <c r="Z13" s="4"/>
    </row>
    <row r="14" ht="57.75" customHeight="1">
      <c r="A14" s="36" t="s">
        <v>2048</v>
      </c>
      <c r="E14" s="4"/>
      <c r="F14" s="4"/>
      <c r="G14" s="4"/>
      <c r="H14" s="4"/>
      <c r="I14" s="4"/>
      <c r="J14" s="4"/>
      <c r="K14" s="4"/>
      <c r="L14" s="4"/>
      <c r="M14" s="4"/>
      <c r="N14" s="4"/>
      <c r="O14" s="4"/>
      <c r="P14" s="4"/>
      <c r="Q14" s="4"/>
      <c r="R14" s="4"/>
      <c r="S14" s="4"/>
      <c r="T14" s="4"/>
      <c r="U14" s="4"/>
      <c r="V14" s="4"/>
      <c r="W14" s="4"/>
      <c r="X14" s="4"/>
      <c r="Y14" s="4"/>
      <c r="Z14" s="4"/>
    </row>
    <row r="15" ht="15.0" customHeight="1">
      <c r="A15" s="37" t="s">
        <v>59</v>
      </c>
      <c r="B15" s="37" t="s">
        <v>89</v>
      </c>
      <c r="C15" s="37" t="s">
        <v>106</v>
      </c>
      <c r="D15" s="37" t="s">
        <v>125</v>
      </c>
      <c r="E15" s="4"/>
      <c r="F15" s="4"/>
      <c r="G15" s="4"/>
      <c r="H15" s="4"/>
      <c r="I15" s="4"/>
      <c r="J15" s="4"/>
      <c r="K15" s="4"/>
      <c r="L15" s="4"/>
      <c r="M15" s="4"/>
      <c r="N15" s="4"/>
      <c r="O15" s="4"/>
      <c r="P15" s="4"/>
      <c r="Q15" s="4"/>
      <c r="R15" s="4"/>
      <c r="S15" s="4"/>
      <c r="T15" s="4"/>
      <c r="U15" s="4"/>
      <c r="V15" s="4"/>
      <c r="W15" s="4"/>
      <c r="X15" s="4"/>
      <c r="Y15" s="4"/>
      <c r="Z15" s="4"/>
    </row>
    <row r="16" ht="43.5" customHeight="1">
      <c r="A16" s="38" t="s">
        <v>2052</v>
      </c>
      <c r="B16" s="39" t="s">
        <v>2053</v>
      </c>
      <c r="C16" s="39" t="s">
        <v>2054</v>
      </c>
      <c r="D16" s="39" t="s">
        <v>2055</v>
      </c>
      <c r="E16" s="4"/>
      <c r="F16" s="4"/>
      <c r="G16" s="4"/>
      <c r="H16" s="4"/>
      <c r="I16" s="4"/>
      <c r="J16" s="4"/>
      <c r="K16" s="4"/>
      <c r="L16" s="4"/>
      <c r="M16" s="4"/>
      <c r="N16" s="4"/>
      <c r="O16" s="4"/>
      <c r="P16" s="4"/>
      <c r="Q16" s="4"/>
      <c r="R16" s="4"/>
      <c r="S16" s="4"/>
      <c r="T16" s="4"/>
      <c r="U16" s="4"/>
      <c r="V16" s="4"/>
      <c r="W16" s="4"/>
      <c r="X16" s="4"/>
      <c r="Y16" s="4"/>
      <c r="Z16" s="4"/>
    </row>
    <row r="17" ht="15.0"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5.0" customHeight="1">
      <c r="A18" s="37" t="s">
        <v>60</v>
      </c>
      <c r="B18" s="37" t="s">
        <v>90</v>
      </c>
      <c r="C18" s="37" t="s">
        <v>106</v>
      </c>
      <c r="D18" s="37" t="s">
        <v>126</v>
      </c>
      <c r="E18" s="4"/>
      <c r="F18" s="4"/>
      <c r="G18" s="4"/>
      <c r="H18" s="4"/>
      <c r="I18" s="4"/>
      <c r="J18" s="4"/>
      <c r="K18" s="4"/>
      <c r="L18" s="4"/>
      <c r="M18" s="4"/>
      <c r="N18" s="4"/>
      <c r="O18" s="4"/>
      <c r="P18" s="4"/>
      <c r="Q18" s="4"/>
      <c r="R18" s="4"/>
      <c r="S18" s="4"/>
      <c r="T18" s="4"/>
      <c r="U18" s="4"/>
      <c r="V18" s="4"/>
      <c r="W18" s="4"/>
      <c r="X18" s="4"/>
      <c r="Y18" s="4"/>
      <c r="Z18" s="4"/>
    </row>
    <row r="19" ht="43.5" customHeight="1">
      <c r="A19" s="38" t="s">
        <v>2052</v>
      </c>
      <c r="B19" s="39" t="s">
        <v>2065</v>
      </c>
      <c r="C19" s="39" t="s">
        <v>2066</v>
      </c>
      <c r="D19" s="39" t="s">
        <v>2067</v>
      </c>
      <c r="E19" s="4"/>
      <c r="F19" s="4"/>
      <c r="G19" s="4"/>
      <c r="H19" s="4"/>
      <c r="I19" s="4"/>
      <c r="J19" s="4"/>
      <c r="K19" s="4"/>
      <c r="L19" s="4"/>
      <c r="M19" s="4"/>
      <c r="N19" s="4"/>
      <c r="O19" s="4"/>
      <c r="P19" s="4"/>
      <c r="Q19" s="4"/>
      <c r="R19" s="4"/>
      <c r="S19" s="4"/>
      <c r="T19" s="4"/>
      <c r="U19" s="4"/>
      <c r="V19" s="4"/>
      <c r="W19" s="4"/>
      <c r="X19" s="4"/>
      <c r="Y19" s="4"/>
      <c r="Z19" s="4"/>
    </row>
    <row r="20" ht="15.0"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5.0" customHeight="1">
      <c r="A21" s="3" t="s">
        <v>2071</v>
      </c>
      <c r="B21" s="4"/>
      <c r="C21" s="4"/>
      <c r="D21" s="4"/>
      <c r="E21" s="4"/>
      <c r="F21" s="4"/>
      <c r="G21" s="4"/>
      <c r="H21" s="4"/>
      <c r="I21" s="4"/>
      <c r="J21" s="4"/>
      <c r="K21" s="4"/>
      <c r="L21" s="4"/>
      <c r="M21" s="4"/>
      <c r="N21" s="4"/>
      <c r="O21" s="4"/>
      <c r="P21" s="4"/>
      <c r="Q21" s="4"/>
      <c r="R21" s="4"/>
      <c r="S21" s="4"/>
      <c r="T21" s="4"/>
      <c r="U21" s="4"/>
      <c r="V21" s="4"/>
      <c r="W21" s="4"/>
      <c r="X21" s="4"/>
      <c r="Y21" s="4"/>
      <c r="Z21" s="4"/>
    </row>
    <row r="22" ht="15.0" customHeight="1">
      <c r="A22" s="37" t="s">
        <v>2076</v>
      </c>
      <c r="B22" s="37" t="s">
        <v>90</v>
      </c>
      <c r="C22" s="37" t="s">
        <v>106</v>
      </c>
      <c r="D22" s="37" t="s">
        <v>126</v>
      </c>
      <c r="E22" s="4"/>
      <c r="F22" s="4"/>
      <c r="G22" s="4"/>
      <c r="H22" s="4"/>
      <c r="I22" s="4"/>
      <c r="J22" s="4"/>
      <c r="K22" s="4"/>
      <c r="L22" s="4"/>
      <c r="M22" s="4"/>
      <c r="N22" s="4"/>
      <c r="O22" s="4"/>
      <c r="P22" s="4"/>
      <c r="Q22" s="4"/>
      <c r="R22" s="4"/>
      <c r="S22" s="4"/>
      <c r="T22" s="4"/>
      <c r="U22" s="4"/>
      <c r="V22" s="4"/>
      <c r="W22" s="4"/>
      <c r="X22" s="4"/>
      <c r="Y22" s="4"/>
      <c r="Z22" s="4"/>
    </row>
    <row r="23" ht="15.0" customHeight="1">
      <c r="A23" s="40" t="s">
        <v>125</v>
      </c>
      <c r="B23" s="41" t="s">
        <v>106</v>
      </c>
      <c r="C23" s="41" t="s">
        <v>90</v>
      </c>
      <c r="D23" s="41" t="s">
        <v>90</v>
      </c>
      <c r="E23" s="4"/>
      <c r="F23" s="4"/>
      <c r="G23" s="4"/>
      <c r="H23" s="4"/>
      <c r="I23" s="4"/>
      <c r="J23" s="4"/>
      <c r="K23" s="4"/>
      <c r="L23" s="4"/>
      <c r="M23" s="4"/>
      <c r="N23" s="4"/>
      <c r="O23" s="4"/>
      <c r="P23" s="4"/>
      <c r="Q23" s="4"/>
      <c r="R23" s="4"/>
      <c r="S23" s="4"/>
      <c r="T23" s="4"/>
      <c r="U23" s="4"/>
      <c r="V23" s="4"/>
      <c r="W23" s="4"/>
      <c r="X23" s="4"/>
      <c r="Y23" s="4"/>
      <c r="Z23" s="4"/>
    </row>
    <row r="24" ht="15.0" customHeight="1">
      <c r="A24" s="40" t="s">
        <v>106</v>
      </c>
      <c r="B24" s="41" t="s">
        <v>126</v>
      </c>
      <c r="C24" s="41" t="s">
        <v>106</v>
      </c>
      <c r="D24" s="41" t="s">
        <v>90</v>
      </c>
      <c r="E24" s="4"/>
      <c r="F24" s="4"/>
      <c r="G24" s="4"/>
      <c r="H24" s="4"/>
      <c r="I24" s="4"/>
      <c r="J24" s="4"/>
      <c r="K24" s="4"/>
      <c r="L24" s="4"/>
      <c r="M24" s="4"/>
      <c r="N24" s="4"/>
      <c r="O24" s="4"/>
      <c r="P24" s="4"/>
      <c r="Q24" s="4"/>
      <c r="R24" s="4"/>
      <c r="S24" s="4"/>
      <c r="T24" s="4"/>
      <c r="U24" s="4"/>
      <c r="V24" s="4"/>
      <c r="W24" s="4"/>
      <c r="X24" s="4"/>
      <c r="Y24" s="4"/>
      <c r="Z24" s="4"/>
    </row>
    <row r="25" ht="15.0" customHeight="1">
      <c r="A25" s="40" t="s">
        <v>89</v>
      </c>
      <c r="B25" s="41" t="s">
        <v>126</v>
      </c>
      <c r="C25" s="41" t="s">
        <v>126</v>
      </c>
      <c r="D25" s="41" t="s">
        <v>106</v>
      </c>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0" customHeight="1">
      <c r="A27" s="3" t="s">
        <v>2095</v>
      </c>
      <c r="B27" s="4"/>
      <c r="C27" s="4"/>
      <c r="D27" s="4"/>
      <c r="E27" s="4"/>
      <c r="F27" s="4"/>
      <c r="G27" s="4"/>
      <c r="H27" s="4"/>
      <c r="I27" s="4"/>
      <c r="J27" s="4"/>
      <c r="K27" s="4"/>
      <c r="L27" s="4"/>
      <c r="M27" s="4"/>
      <c r="N27" s="4"/>
      <c r="O27" s="4"/>
      <c r="P27" s="4"/>
      <c r="Q27" s="4"/>
      <c r="R27" s="4"/>
      <c r="S27" s="4"/>
      <c r="T27" s="4"/>
      <c r="U27" s="4"/>
      <c r="V27" s="4"/>
      <c r="W27" s="4"/>
      <c r="X27" s="4"/>
      <c r="Y27" s="4"/>
      <c r="Z27" s="4"/>
    </row>
    <row r="28" ht="30.0" customHeight="1">
      <c r="A28" s="36" t="s">
        <v>2096</v>
      </c>
      <c r="E28" s="4"/>
      <c r="F28" s="4"/>
      <c r="G28" s="4"/>
      <c r="H28" s="4"/>
      <c r="I28" s="4"/>
      <c r="J28" s="4"/>
      <c r="K28" s="4"/>
      <c r="L28" s="4"/>
      <c r="M28" s="4"/>
      <c r="N28" s="4"/>
      <c r="O28" s="4"/>
      <c r="P28" s="4"/>
      <c r="Q28" s="4"/>
      <c r="R28" s="4"/>
      <c r="S28" s="4"/>
      <c r="T28" s="4"/>
      <c r="U28" s="4"/>
      <c r="V28" s="4"/>
      <c r="W28" s="4"/>
      <c r="X28" s="4"/>
      <c r="Y28" s="4"/>
      <c r="Z28" s="4"/>
    </row>
    <row r="29" ht="30.0" customHeight="1">
      <c r="A29" s="36" t="s">
        <v>2100</v>
      </c>
      <c r="E29" s="4"/>
      <c r="F29" s="4"/>
      <c r="G29" s="4"/>
      <c r="H29" s="4"/>
      <c r="I29" s="4"/>
      <c r="J29" s="4"/>
      <c r="K29" s="4"/>
      <c r="L29" s="4"/>
      <c r="M29" s="4"/>
      <c r="N29" s="4"/>
      <c r="O29" s="4"/>
      <c r="P29" s="4"/>
      <c r="Q29" s="4"/>
      <c r="R29" s="4"/>
      <c r="S29" s="4"/>
      <c r="T29" s="4"/>
      <c r="U29" s="4"/>
      <c r="V29" s="4"/>
      <c r="W29" s="4"/>
      <c r="X29" s="4"/>
      <c r="Y29" s="4"/>
      <c r="Z29" s="4"/>
    </row>
    <row r="30" ht="30.0" customHeight="1">
      <c r="A30" s="36" t="s">
        <v>2104</v>
      </c>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9">
    <mergeCell ref="A29:D29"/>
    <mergeCell ref="A30:D30"/>
    <mergeCell ref="A1:D1"/>
    <mergeCell ref="A2:D2"/>
    <mergeCell ref="A4:D4"/>
    <mergeCell ref="A5:D5"/>
    <mergeCell ref="A13:D13"/>
    <mergeCell ref="A14:D14"/>
    <mergeCell ref="A28:D28"/>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2.0"/>
    <col customWidth="1" min="2" max="3" width="14.0"/>
    <col customWidth="1" min="4" max="4" width="19.86"/>
    <col customWidth="1" min="5" max="5" width="11.0"/>
    <col customWidth="1" min="6" max="6" width="14.57"/>
  </cols>
  <sheetData>
    <row r="1" ht="17.25" customHeight="1">
      <c r="A1" s="35" t="s">
        <v>2232</v>
      </c>
      <c r="E1" s="4"/>
      <c r="F1" s="4"/>
      <c r="G1" s="4"/>
      <c r="H1" s="4"/>
      <c r="I1" s="4"/>
      <c r="J1" s="4"/>
      <c r="K1" s="4"/>
      <c r="L1" s="4"/>
      <c r="M1" s="4"/>
      <c r="N1" s="4"/>
      <c r="O1" s="4"/>
      <c r="P1" s="4"/>
      <c r="Q1" s="4"/>
      <c r="R1" s="4"/>
      <c r="S1" s="4"/>
      <c r="T1" s="4"/>
      <c r="U1" s="4"/>
      <c r="V1" s="4"/>
      <c r="W1" s="4"/>
      <c r="X1" s="4"/>
      <c r="Y1" s="4"/>
      <c r="Z1" s="4"/>
    </row>
    <row r="2" ht="15.0" customHeight="1">
      <c r="A2" s="4"/>
      <c r="B2" s="4"/>
      <c r="C2" s="4"/>
      <c r="D2" s="4"/>
      <c r="E2" s="4"/>
      <c r="F2" s="4"/>
      <c r="G2" s="4"/>
      <c r="H2" s="4"/>
      <c r="I2" s="4"/>
      <c r="J2" s="4"/>
      <c r="K2" s="4"/>
      <c r="L2" s="4"/>
      <c r="M2" s="4"/>
      <c r="N2" s="4"/>
      <c r="O2" s="4"/>
      <c r="P2" s="4"/>
      <c r="Q2" s="4"/>
      <c r="R2" s="4"/>
      <c r="S2" s="4"/>
      <c r="T2" s="4"/>
      <c r="U2" s="4"/>
      <c r="V2" s="4"/>
      <c r="W2" s="4"/>
      <c r="X2" s="4"/>
      <c r="Y2" s="4"/>
      <c r="Z2" s="4"/>
    </row>
    <row r="3" ht="15.0" customHeight="1">
      <c r="A3" s="37" t="s">
        <v>2246</v>
      </c>
      <c r="B3" s="37" t="s">
        <v>2247</v>
      </c>
      <c r="C3" s="37" t="s">
        <v>2248</v>
      </c>
      <c r="D3" s="37" t="s">
        <v>42</v>
      </c>
      <c r="E3" s="4"/>
      <c r="F3" s="4"/>
      <c r="G3" s="4"/>
      <c r="H3" s="4"/>
      <c r="I3" s="4"/>
      <c r="J3" s="4"/>
      <c r="K3" s="4"/>
      <c r="L3" s="4"/>
      <c r="M3" s="4"/>
      <c r="N3" s="4"/>
      <c r="O3" s="4"/>
      <c r="P3" s="4"/>
      <c r="Q3" s="4"/>
      <c r="R3" s="4"/>
      <c r="S3" s="4"/>
      <c r="T3" s="4"/>
      <c r="U3" s="4"/>
      <c r="V3" s="4"/>
      <c r="W3" s="4"/>
      <c r="X3" s="4"/>
      <c r="Y3" s="4"/>
      <c r="Z3" s="4"/>
    </row>
    <row r="4" ht="15.0" customHeight="1">
      <c r="A4" s="43" t="s">
        <v>2252</v>
      </c>
      <c r="B4" s="43">
        <f>COUNTA('Catálogo'!C2:C61)</f>
        <v>40</v>
      </c>
      <c r="C4" s="43">
        <v>40.0</v>
      </c>
      <c r="D4" s="43" t="str">
        <f>IF(B4=C4,"OK",IF(B4&lt;C4,"Faltam "&amp;(C4-B4),"Excede em "&amp;(B4-C4)))</f>
        <v>OK</v>
      </c>
      <c r="E4" s="4"/>
      <c r="F4" s="4"/>
      <c r="G4" s="4"/>
      <c r="H4" s="4"/>
      <c r="I4" s="4"/>
      <c r="J4" s="4"/>
      <c r="K4" s="4"/>
      <c r="L4" s="4"/>
      <c r="M4" s="4"/>
      <c r="N4" s="4"/>
      <c r="O4" s="4"/>
      <c r="P4" s="4"/>
      <c r="Q4" s="4"/>
      <c r="R4" s="4"/>
      <c r="S4" s="4"/>
      <c r="T4" s="4"/>
      <c r="U4" s="4"/>
      <c r="V4" s="4"/>
      <c r="W4" s="4"/>
      <c r="X4" s="4"/>
      <c r="Y4" s="4"/>
      <c r="Z4" s="4"/>
    </row>
    <row r="5" ht="15.0" customHeight="1">
      <c r="A5" s="43" t="s">
        <v>2265</v>
      </c>
      <c r="B5" s="43">
        <f>COUNTIF(Triagem!M2:M1001,"Incluir")</f>
        <v>40</v>
      </c>
      <c r="C5" s="43">
        <f>C4</f>
        <v>40</v>
      </c>
      <c r="D5" s="43" t="str">
        <f>IF(B5=B4,"OK","Diferente do catálogo")</f>
        <v>OK</v>
      </c>
      <c r="E5" s="4"/>
      <c r="F5" s="4"/>
      <c r="G5" s="4"/>
      <c r="H5" s="4"/>
      <c r="I5" s="4"/>
      <c r="J5" s="4"/>
      <c r="K5" s="4"/>
      <c r="L5" s="4"/>
      <c r="M5" s="4"/>
      <c r="N5" s="4"/>
      <c r="O5" s="4"/>
      <c r="P5" s="4"/>
      <c r="Q5" s="4"/>
      <c r="R5" s="4"/>
      <c r="S5" s="4"/>
      <c r="T5" s="4"/>
      <c r="U5" s="4"/>
      <c r="V5" s="4"/>
      <c r="W5" s="4"/>
      <c r="X5" s="4"/>
      <c r="Y5" s="4"/>
      <c r="Z5" s="4"/>
    </row>
    <row r="6" ht="15.0" customHeight="1">
      <c r="A6" s="43" t="s">
        <v>2272</v>
      </c>
      <c r="B6" s="43">
        <f>COUNTA(Triagem!M2:M1001)</f>
        <v>40</v>
      </c>
      <c r="C6" s="43"/>
      <c r="D6" s="43"/>
      <c r="E6" s="4"/>
      <c r="F6" s="4"/>
      <c r="G6" s="4"/>
      <c r="H6" s="4"/>
      <c r="I6" s="4"/>
      <c r="J6" s="4"/>
      <c r="K6" s="4"/>
      <c r="L6" s="4"/>
      <c r="M6" s="4"/>
      <c r="N6" s="4"/>
      <c r="O6" s="4"/>
      <c r="P6" s="4"/>
      <c r="Q6" s="4"/>
      <c r="R6" s="4"/>
      <c r="S6" s="4"/>
      <c r="T6" s="4"/>
      <c r="U6" s="4"/>
      <c r="V6" s="4"/>
      <c r="W6" s="4"/>
      <c r="X6" s="4"/>
      <c r="Y6" s="4"/>
      <c r="Z6" s="4"/>
    </row>
    <row r="7" ht="15.0" customHeight="1">
      <c r="A7" s="43" t="s">
        <v>2276</v>
      </c>
      <c r="B7" s="43">
        <f>COUNTIF(Triagem!O2:O1001,"Sim")</f>
        <v>831</v>
      </c>
      <c r="C7" s="43"/>
      <c r="D7" s="43"/>
      <c r="E7" s="4"/>
      <c r="F7" s="4"/>
      <c r="G7" s="4"/>
      <c r="H7" s="4"/>
      <c r="I7" s="4"/>
      <c r="J7" s="4"/>
      <c r="K7" s="4"/>
      <c r="L7" s="4"/>
      <c r="M7" s="4"/>
      <c r="N7" s="4"/>
      <c r="O7" s="4"/>
      <c r="P7" s="4"/>
      <c r="Q7" s="4"/>
      <c r="R7" s="4"/>
      <c r="S7" s="4"/>
      <c r="T7" s="4"/>
      <c r="U7" s="4"/>
      <c r="V7" s="4"/>
      <c r="W7" s="4"/>
      <c r="X7" s="4"/>
      <c r="Y7" s="4"/>
      <c r="Z7" s="4"/>
    </row>
    <row r="8" ht="15.0" customHeight="1">
      <c r="A8" s="43" t="s">
        <v>2283</v>
      </c>
      <c r="B8" s="44">
        <f>IFERROR(COUNTIF('Catálogo'!M2:M61,"Sim")/(COUNTIF('Catálogo'!M2:M61,"Sim")+COUNTIF('Catálogo'!M2:M61,"Não")),"")</f>
        <v>0.4</v>
      </c>
      <c r="C8" s="43"/>
      <c r="D8" s="43"/>
      <c r="E8" s="4"/>
      <c r="F8" s="4"/>
      <c r="G8" s="4"/>
      <c r="H8" s="4"/>
      <c r="I8" s="4"/>
      <c r="J8" s="4"/>
      <c r="K8" s="4"/>
      <c r="L8" s="4"/>
      <c r="M8" s="4"/>
      <c r="N8" s="4"/>
      <c r="O8" s="4"/>
      <c r="P8" s="4"/>
      <c r="Q8" s="4"/>
      <c r="R8" s="4"/>
      <c r="S8" s="4"/>
      <c r="T8" s="4"/>
      <c r="U8" s="4"/>
      <c r="V8" s="4"/>
      <c r="W8" s="4"/>
      <c r="X8" s="4"/>
      <c r="Y8" s="4"/>
      <c r="Z8" s="4"/>
    </row>
    <row r="9" ht="15.0" customHeight="1">
      <c r="A9" s="4"/>
      <c r="B9" s="4"/>
      <c r="C9" s="4"/>
      <c r="D9" s="4"/>
      <c r="E9" s="4"/>
      <c r="F9" s="4"/>
      <c r="G9" s="4"/>
      <c r="H9" s="4"/>
      <c r="I9" s="4"/>
      <c r="J9" s="4"/>
      <c r="K9" s="4"/>
      <c r="L9" s="4"/>
      <c r="M9" s="4"/>
      <c r="N9" s="4"/>
      <c r="O9" s="4"/>
      <c r="P9" s="4"/>
      <c r="Q9" s="4"/>
      <c r="R9" s="4"/>
      <c r="S9" s="4"/>
      <c r="T9" s="4"/>
      <c r="U9" s="4"/>
      <c r="V9" s="4"/>
      <c r="W9" s="4"/>
      <c r="X9" s="4"/>
      <c r="Y9" s="4"/>
      <c r="Z9" s="4"/>
    </row>
    <row r="10" ht="30.0" customHeight="1">
      <c r="A10" s="1" t="s">
        <v>2303</v>
      </c>
      <c r="B10" s="1" t="s">
        <v>2304</v>
      </c>
      <c r="C10" s="1" t="s">
        <v>2305</v>
      </c>
      <c r="D10" s="1" t="s">
        <v>2307</v>
      </c>
      <c r="E10" s="1" t="s">
        <v>2246</v>
      </c>
      <c r="F10" s="1" t="s">
        <v>2312</v>
      </c>
      <c r="G10" s="4"/>
      <c r="H10" s="4"/>
      <c r="I10" s="4"/>
      <c r="J10" s="4"/>
      <c r="K10" s="4"/>
      <c r="L10" s="4"/>
      <c r="M10" s="4"/>
      <c r="N10" s="4"/>
      <c r="O10" s="4"/>
      <c r="P10" s="4"/>
      <c r="Q10" s="4"/>
      <c r="R10" s="4"/>
      <c r="S10" s="4"/>
      <c r="T10" s="4"/>
      <c r="U10" s="4"/>
      <c r="V10" s="4"/>
      <c r="W10" s="4"/>
      <c r="X10" s="4"/>
      <c r="Y10" s="4"/>
      <c r="Z10" s="4"/>
    </row>
    <row r="11" ht="15.0" customHeight="1">
      <c r="A11" s="43" t="s">
        <v>52</v>
      </c>
      <c r="B11" s="43">
        <f>COUNTIF(Triagem!$F$2:$F$1001,A11)</f>
        <v>213</v>
      </c>
      <c r="C11" s="43">
        <f>COUNTIFS(Triagem!$F$2:$F$1001,A11,Triagem!$G$2:$G$1001,"&lt;&gt;",Triagem!$H$2:$H$1001,"&lt;&gt;",Triagem!$I$2:$I$1001,"&lt;&gt;")</f>
        <v>213</v>
      </c>
      <c r="D11" s="44">
        <f t="shared" ref="D11:D14" si="1">IFERROR(C11/B11,0)</f>
        <v>1</v>
      </c>
      <c r="E11" s="43">
        <f>COUNTIF('Catálogo'!$B$2:$B$61,A11)</f>
        <v>10</v>
      </c>
      <c r="F11" s="43" t="str">
        <f t="shared" ref="F11:F14" si="2">IF(E11=10,"OK",IF(E11&lt;10,"Faltam "&amp;(10-E11),"Excede em "&amp;(E11-10)))</f>
        <v>OK</v>
      </c>
      <c r="G11" s="4"/>
      <c r="H11" s="4"/>
      <c r="I11" s="4"/>
      <c r="J11" s="4"/>
      <c r="K11" s="4"/>
      <c r="L11" s="4"/>
      <c r="M11" s="4"/>
      <c r="N11" s="4"/>
      <c r="O11" s="4"/>
      <c r="P11" s="4"/>
      <c r="Q11" s="4"/>
      <c r="R11" s="4"/>
      <c r="S11" s="4"/>
      <c r="T11" s="4"/>
      <c r="U11" s="4"/>
      <c r="V11" s="4"/>
      <c r="W11" s="4"/>
      <c r="X11" s="4"/>
      <c r="Y11" s="4"/>
      <c r="Z11" s="4"/>
    </row>
    <row r="12" ht="15.0" customHeight="1">
      <c r="A12" s="43" t="s">
        <v>92</v>
      </c>
      <c r="B12" s="43">
        <f>COUNTIF(Triagem!$F$2:$F$1001,A12)</f>
        <v>201</v>
      </c>
      <c r="C12" s="43">
        <f>COUNTIFS(Triagem!$F$2:$F$1001,A12,Triagem!$G$2:$G$1001,"&lt;&gt;",Triagem!$H$2:$H$1001,"&lt;&gt;",Triagem!$I$2:$I$1001,"&lt;&gt;")</f>
        <v>201</v>
      </c>
      <c r="D12" s="44">
        <f t="shared" si="1"/>
        <v>1</v>
      </c>
      <c r="E12" s="43">
        <f>COUNTIF('Catálogo'!$B$2:$B$61,A12)</f>
        <v>10</v>
      </c>
      <c r="F12" s="43" t="str">
        <f t="shared" si="2"/>
        <v>OK</v>
      </c>
      <c r="G12" s="4"/>
      <c r="H12" s="4"/>
      <c r="I12" s="4"/>
      <c r="J12" s="4"/>
      <c r="K12" s="4"/>
      <c r="L12" s="4"/>
      <c r="M12" s="4"/>
      <c r="N12" s="4"/>
      <c r="O12" s="4"/>
      <c r="P12" s="4"/>
      <c r="Q12" s="4"/>
      <c r="R12" s="4"/>
      <c r="S12" s="4"/>
      <c r="T12" s="4"/>
      <c r="U12" s="4"/>
      <c r="V12" s="4"/>
      <c r="W12" s="4"/>
      <c r="X12" s="4"/>
      <c r="Y12" s="4"/>
      <c r="Z12" s="4"/>
    </row>
    <row r="13" ht="15.0" customHeight="1">
      <c r="A13" s="43" t="s">
        <v>109</v>
      </c>
      <c r="B13" s="43">
        <f>COUNTIF(Triagem!$F$2:$F$1001,A13)</f>
        <v>216</v>
      </c>
      <c r="C13" s="43">
        <f>COUNTIFS(Triagem!$F$2:$F$1001,A13,Triagem!$G$2:$G$1001,"&lt;&gt;",Triagem!$H$2:$H$1001,"&lt;&gt;",Triagem!$I$2:$I$1001,"&lt;&gt;")</f>
        <v>215</v>
      </c>
      <c r="D13" s="44">
        <f t="shared" si="1"/>
        <v>0.9953703704</v>
      </c>
      <c r="E13" s="43">
        <f>COUNTIF('Catálogo'!$B$2:$B$61,A13)</f>
        <v>10</v>
      </c>
      <c r="F13" s="43" t="str">
        <f t="shared" si="2"/>
        <v>OK</v>
      </c>
      <c r="G13" s="4"/>
      <c r="H13" s="4"/>
      <c r="I13" s="4"/>
      <c r="J13" s="4"/>
      <c r="K13" s="4"/>
      <c r="L13" s="4"/>
      <c r="M13" s="4"/>
      <c r="N13" s="4"/>
      <c r="O13" s="4"/>
      <c r="P13" s="4"/>
      <c r="Q13" s="4"/>
      <c r="R13" s="4"/>
      <c r="S13" s="4"/>
      <c r="T13" s="4"/>
      <c r="U13" s="4"/>
      <c r="V13" s="4"/>
      <c r="W13" s="4"/>
      <c r="X13" s="4"/>
      <c r="Y13" s="4"/>
      <c r="Z13" s="4"/>
    </row>
    <row r="14" ht="15.0" customHeight="1">
      <c r="A14" s="43" t="s">
        <v>71</v>
      </c>
      <c r="B14" s="43">
        <f>COUNTIF(Triagem!$F$2:$F$1001,A14)</f>
        <v>201</v>
      </c>
      <c r="C14" s="43">
        <f>COUNTIFS(Triagem!$F$2:$F$1001,A14,Triagem!$G$2:$G$1001,"&lt;&gt;",Triagem!$H$2:$H$1001,"&lt;&gt;",Triagem!$I$2:$I$1001,"&lt;&gt;")</f>
        <v>201</v>
      </c>
      <c r="D14" s="44">
        <f t="shared" si="1"/>
        <v>1</v>
      </c>
      <c r="E14" s="43">
        <f>COUNTIF('Catálogo'!$B$2:$B$61,A14)</f>
        <v>10</v>
      </c>
      <c r="F14" s="43" t="str">
        <f t="shared" si="2"/>
        <v>OK</v>
      </c>
      <c r="G14" s="4"/>
      <c r="H14" s="4"/>
      <c r="I14" s="4"/>
      <c r="J14" s="4"/>
      <c r="K14" s="4"/>
      <c r="L14" s="4"/>
      <c r="M14" s="4"/>
      <c r="N14" s="4"/>
      <c r="O14" s="4"/>
      <c r="P14" s="4"/>
      <c r="Q14" s="4"/>
      <c r="R14" s="4"/>
      <c r="S14" s="4"/>
      <c r="T14" s="4"/>
      <c r="U14" s="4"/>
      <c r="V14" s="4"/>
      <c r="W14" s="4"/>
      <c r="X14" s="4"/>
      <c r="Y14" s="4"/>
      <c r="Z14" s="4"/>
    </row>
    <row r="15" ht="15.0"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ht="15.0" customHeight="1">
      <c r="A16" s="37" t="s">
        <v>2358</v>
      </c>
      <c r="B16" s="37" t="s">
        <v>2361</v>
      </c>
      <c r="C16" s="37" t="s">
        <v>2248</v>
      </c>
      <c r="D16" s="37" t="s">
        <v>42</v>
      </c>
      <c r="E16" s="4"/>
      <c r="F16" s="4"/>
      <c r="G16" s="4"/>
      <c r="H16" s="4"/>
      <c r="I16" s="4"/>
      <c r="J16" s="4"/>
      <c r="K16" s="4"/>
      <c r="L16" s="4"/>
      <c r="M16" s="4"/>
      <c r="N16" s="4"/>
      <c r="O16" s="4"/>
      <c r="P16" s="4"/>
      <c r="Q16" s="4"/>
      <c r="R16" s="4"/>
      <c r="S16" s="4"/>
      <c r="T16" s="4"/>
      <c r="U16" s="4"/>
      <c r="V16" s="4"/>
      <c r="W16" s="4"/>
      <c r="X16" s="4"/>
      <c r="Y16" s="4"/>
      <c r="Z16" s="4"/>
    </row>
    <row r="17" ht="15.0" customHeight="1">
      <c r="A17" s="43" t="s">
        <v>2363</v>
      </c>
      <c r="B17" s="43">
        <f>COUNTIF('Catálogo'!N2:N61,"1.*")+COUNTIF('Catálogo'!N2:N61,"*, 1.*")</f>
        <v>6</v>
      </c>
      <c r="C17" s="43">
        <v>3.0</v>
      </c>
      <c r="D17" s="43" t="str">
        <f t="shared" ref="D17:D23" si="3">IF(B17&gt;=C17,"OK","Faltam "&amp;(C17-B17))</f>
        <v>OK</v>
      </c>
      <c r="E17" s="4"/>
      <c r="F17" s="4"/>
      <c r="G17" s="4"/>
      <c r="H17" s="4"/>
      <c r="I17" s="4"/>
      <c r="J17" s="4"/>
      <c r="K17" s="4"/>
      <c r="L17" s="4"/>
      <c r="M17" s="4"/>
      <c r="N17" s="4"/>
      <c r="O17" s="4"/>
      <c r="P17" s="4"/>
      <c r="Q17" s="4"/>
      <c r="R17" s="4"/>
      <c r="S17" s="4"/>
      <c r="T17" s="4"/>
      <c r="U17" s="4"/>
      <c r="V17" s="4"/>
      <c r="W17" s="4"/>
      <c r="X17" s="4"/>
      <c r="Y17" s="4"/>
      <c r="Z17" s="4"/>
    </row>
    <row r="18" ht="15.0" customHeight="1">
      <c r="A18" s="43" t="s">
        <v>2372</v>
      </c>
      <c r="B18" s="43">
        <f>COUNTIF('Catálogo'!N2:N61,"2.*")+COUNTIF('Catálogo'!N2:N61,"*, 2.*")</f>
        <v>17</v>
      </c>
      <c r="C18" s="43">
        <v>3.0</v>
      </c>
      <c r="D18" s="43" t="str">
        <f t="shared" si="3"/>
        <v>OK</v>
      </c>
      <c r="E18" s="4"/>
      <c r="F18" s="4"/>
      <c r="G18" s="4"/>
      <c r="H18" s="4"/>
      <c r="I18" s="4"/>
      <c r="J18" s="4"/>
      <c r="K18" s="4"/>
      <c r="L18" s="4"/>
      <c r="M18" s="4"/>
      <c r="N18" s="4"/>
      <c r="O18" s="4"/>
      <c r="P18" s="4"/>
      <c r="Q18" s="4"/>
      <c r="R18" s="4"/>
      <c r="S18" s="4"/>
      <c r="T18" s="4"/>
      <c r="U18" s="4"/>
      <c r="V18" s="4"/>
      <c r="W18" s="4"/>
      <c r="X18" s="4"/>
      <c r="Y18" s="4"/>
      <c r="Z18" s="4"/>
    </row>
    <row r="19" ht="15.0" customHeight="1">
      <c r="A19" s="43" t="s">
        <v>2379</v>
      </c>
      <c r="B19" s="43">
        <f>COUNTIF('Catálogo'!N2:N61,"3.*")+COUNTIF('Catálogo'!N2:N61,"*, 3.*")</f>
        <v>12</v>
      </c>
      <c r="C19" s="43">
        <v>3.0</v>
      </c>
      <c r="D19" s="43" t="str">
        <f t="shared" si="3"/>
        <v>OK</v>
      </c>
      <c r="E19" s="4"/>
      <c r="F19" s="4"/>
      <c r="G19" s="4"/>
      <c r="H19" s="4"/>
      <c r="I19" s="4"/>
      <c r="J19" s="4"/>
      <c r="K19" s="4"/>
      <c r="L19" s="4"/>
      <c r="M19" s="4"/>
      <c r="N19" s="4"/>
      <c r="O19" s="4"/>
      <c r="P19" s="4"/>
      <c r="Q19" s="4"/>
      <c r="R19" s="4"/>
      <c r="S19" s="4"/>
      <c r="T19" s="4"/>
      <c r="U19" s="4"/>
      <c r="V19" s="4"/>
      <c r="W19" s="4"/>
      <c r="X19" s="4"/>
      <c r="Y19" s="4"/>
      <c r="Z19" s="4"/>
    </row>
    <row r="20" ht="15.0" customHeight="1">
      <c r="A20" s="43" t="s">
        <v>2385</v>
      </c>
      <c r="B20" s="43">
        <f>COUNTIF('Catálogo'!N2:N61,"4.*")+COUNTIF('Catálogo'!N2:N61,"*, 4.*")</f>
        <v>15</v>
      </c>
      <c r="C20" s="43">
        <v>3.0</v>
      </c>
      <c r="D20" s="43" t="str">
        <f t="shared" si="3"/>
        <v>OK</v>
      </c>
      <c r="E20" s="4"/>
      <c r="F20" s="4"/>
      <c r="G20" s="4"/>
      <c r="H20" s="4"/>
      <c r="I20" s="4"/>
      <c r="J20" s="4"/>
      <c r="K20" s="4"/>
      <c r="L20" s="4"/>
      <c r="M20" s="4"/>
      <c r="N20" s="4"/>
      <c r="O20" s="4"/>
      <c r="P20" s="4"/>
      <c r="Q20" s="4"/>
      <c r="R20" s="4"/>
      <c r="S20" s="4"/>
      <c r="T20" s="4"/>
      <c r="U20" s="4"/>
      <c r="V20" s="4"/>
      <c r="W20" s="4"/>
      <c r="X20" s="4"/>
      <c r="Y20" s="4"/>
      <c r="Z20" s="4"/>
    </row>
    <row r="21" ht="15.0" customHeight="1">
      <c r="A21" s="43" t="s">
        <v>2389</v>
      </c>
      <c r="B21" s="43">
        <f>COUNTIF('Catálogo'!N2:N61,"5.*")+COUNTIF('Catálogo'!N2:N61,"*, 5.*")</f>
        <v>6</v>
      </c>
      <c r="C21" s="43">
        <v>3.0</v>
      </c>
      <c r="D21" s="43" t="str">
        <f t="shared" si="3"/>
        <v>OK</v>
      </c>
      <c r="E21" s="4"/>
      <c r="F21" s="4"/>
      <c r="G21" s="4"/>
      <c r="H21" s="4"/>
      <c r="I21" s="4"/>
      <c r="J21" s="4"/>
      <c r="K21" s="4"/>
      <c r="L21" s="4"/>
      <c r="M21" s="4"/>
      <c r="N21" s="4"/>
      <c r="O21" s="4"/>
      <c r="P21" s="4"/>
      <c r="Q21" s="4"/>
      <c r="R21" s="4"/>
      <c r="S21" s="4"/>
      <c r="T21" s="4"/>
      <c r="U21" s="4"/>
      <c r="V21" s="4"/>
      <c r="W21" s="4"/>
      <c r="X21" s="4"/>
      <c r="Y21" s="4"/>
      <c r="Z21" s="4"/>
    </row>
    <row r="22" ht="15.0" customHeight="1">
      <c r="A22" s="43" t="s">
        <v>2393</v>
      </c>
      <c r="B22" s="43">
        <f>COUNTIF('Catálogo'!N2:N61,"6.*")+COUNTIF('Catálogo'!N2:N61,"*, 6.*")</f>
        <v>30</v>
      </c>
      <c r="C22" s="43">
        <v>3.0</v>
      </c>
      <c r="D22" s="43" t="str">
        <f t="shared" si="3"/>
        <v>OK</v>
      </c>
      <c r="E22" s="4"/>
      <c r="F22" s="4"/>
      <c r="G22" s="4"/>
      <c r="H22" s="4"/>
      <c r="I22" s="4"/>
      <c r="J22" s="4"/>
      <c r="K22" s="4"/>
      <c r="L22" s="4"/>
      <c r="M22" s="4"/>
      <c r="N22" s="4"/>
      <c r="O22" s="4"/>
      <c r="P22" s="4"/>
      <c r="Q22" s="4"/>
      <c r="R22" s="4"/>
      <c r="S22" s="4"/>
      <c r="T22" s="4"/>
      <c r="U22" s="4"/>
      <c r="V22" s="4"/>
      <c r="W22" s="4"/>
      <c r="X22" s="4"/>
      <c r="Y22" s="4"/>
      <c r="Z22" s="4"/>
    </row>
    <row r="23" ht="15.0" customHeight="1">
      <c r="A23" s="43" t="s">
        <v>2397</v>
      </c>
      <c r="B23" s="43">
        <f>COUNTIF('Catálogo'!N2:N61,"7.*")+COUNTIF('Catálogo'!N2:N61,"*, 7.*")</f>
        <v>33</v>
      </c>
      <c r="C23" s="43">
        <v>3.0</v>
      </c>
      <c r="D23" s="43" t="str">
        <f t="shared" si="3"/>
        <v>OK</v>
      </c>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0" customHeight="1">
      <c r="A25" s="37" t="s">
        <v>2407</v>
      </c>
      <c r="B25" s="37" t="s">
        <v>2361</v>
      </c>
      <c r="C25" s="37"/>
      <c r="D25" s="37" t="s">
        <v>42</v>
      </c>
      <c r="E25" s="4"/>
      <c r="F25" s="4"/>
      <c r="G25" s="4"/>
      <c r="H25" s="4"/>
      <c r="I25" s="4"/>
      <c r="J25" s="4"/>
      <c r="K25" s="4"/>
      <c r="L25" s="4"/>
      <c r="M25" s="4"/>
      <c r="N25" s="4"/>
      <c r="O25" s="4"/>
      <c r="P25" s="4"/>
      <c r="Q25" s="4"/>
      <c r="R25" s="4"/>
      <c r="S25" s="4"/>
      <c r="T25" s="4"/>
      <c r="U25" s="4"/>
      <c r="V25" s="4"/>
      <c r="W25" s="4"/>
      <c r="X25" s="4"/>
      <c r="Y25" s="4"/>
      <c r="Z25" s="4"/>
    </row>
    <row r="26" ht="15.0" customHeight="1">
      <c r="A26" s="43" t="s">
        <v>80</v>
      </c>
      <c r="B26" s="43">
        <f>COUNTIF('Catálogo'!G2:G61,"1.1 *")</f>
        <v>0</v>
      </c>
      <c r="C26" s="43"/>
      <c r="D26" s="43" t="str">
        <f t="shared" ref="D26:D48" si="4">IF(B26&gt;0,"Coberta","Sem mitigação")</f>
        <v>Sem mitigação</v>
      </c>
      <c r="E26" s="4"/>
      <c r="F26" s="4"/>
      <c r="G26" s="4"/>
      <c r="H26" s="4"/>
      <c r="I26" s="4"/>
      <c r="J26" s="4"/>
      <c r="K26" s="4"/>
      <c r="L26" s="4"/>
      <c r="M26" s="4"/>
      <c r="N26" s="4"/>
      <c r="O26" s="4"/>
      <c r="P26" s="4"/>
      <c r="Q26" s="4"/>
      <c r="R26" s="4"/>
      <c r="S26" s="4"/>
      <c r="T26" s="4"/>
      <c r="U26" s="4"/>
      <c r="V26" s="4"/>
      <c r="W26" s="4"/>
      <c r="X26" s="4"/>
      <c r="Y26" s="4"/>
      <c r="Z26" s="4"/>
    </row>
    <row r="27" ht="15.0" customHeight="1">
      <c r="A27" s="43" t="s">
        <v>85</v>
      </c>
      <c r="B27" s="43">
        <f>COUNTIF('Catálogo'!G2:G61,"1.2 *")</f>
        <v>12</v>
      </c>
      <c r="C27" s="43"/>
      <c r="D27" s="43" t="str">
        <f t="shared" si="4"/>
        <v>Coberta</v>
      </c>
      <c r="E27" s="4"/>
      <c r="F27" s="4"/>
      <c r="G27" s="4"/>
      <c r="H27" s="4"/>
      <c r="I27" s="4"/>
      <c r="J27" s="4"/>
      <c r="K27" s="4"/>
      <c r="L27" s="4"/>
      <c r="M27" s="4"/>
      <c r="N27" s="4"/>
      <c r="O27" s="4"/>
      <c r="P27" s="4"/>
      <c r="Q27" s="4"/>
      <c r="R27" s="4"/>
      <c r="S27" s="4"/>
      <c r="T27" s="4"/>
      <c r="U27" s="4"/>
      <c r="V27" s="4"/>
      <c r="W27" s="4"/>
      <c r="X27" s="4"/>
      <c r="Y27" s="4"/>
      <c r="Z27" s="4"/>
    </row>
    <row r="28" ht="15.0" customHeight="1">
      <c r="A28" s="43" t="s">
        <v>114</v>
      </c>
      <c r="B28" s="43">
        <f>COUNTIF('Catálogo'!G2:G61,"1.3 *")</f>
        <v>0</v>
      </c>
      <c r="C28" s="43"/>
      <c r="D28" s="43" t="str">
        <f t="shared" si="4"/>
        <v>Sem mitigação</v>
      </c>
      <c r="E28" s="4"/>
      <c r="F28" s="4"/>
      <c r="G28" s="4"/>
      <c r="H28" s="4"/>
      <c r="I28" s="4"/>
      <c r="J28" s="4"/>
      <c r="K28" s="4"/>
      <c r="L28" s="4"/>
      <c r="M28" s="4"/>
      <c r="N28" s="4"/>
      <c r="O28" s="4"/>
      <c r="P28" s="4"/>
      <c r="Q28" s="4"/>
      <c r="R28" s="4"/>
      <c r="S28" s="4"/>
      <c r="T28" s="4"/>
      <c r="U28" s="4"/>
      <c r="V28" s="4"/>
      <c r="W28" s="4"/>
      <c r="X28" s="4"/>
      <c r="Y28" s="4"/>
      <c r="Z28" s="4"/>
    </row>
    <row r="29" ht="15.0" customHeight="1">
      <c r="A29" s="43" t="s">
        <v>136</v>
      </c>
      <c r="B29" s="43">
        <f>COUNTIF('Catálogo'!G2:G61,"1.4 *")</f>
        <v>0</v>
      </c>
      <c r="C29" s="43"/>
      <c r="D29" s="43" t="str">
        <f t="shared" si="4"/>
        <v>Sem mitigação</v>
      </c>
      <c r="E29" s="4"/>
      <c r="F29" s="4"/>
      <c r="G29" s="4"/>
      <c r="H29" s="4"/>
      <c r="I29" s="4"/>
      <c r="J29" s="4"/>
      <c r="K29" s="4"/>
      <c r="L29" s="4"/>
      <c r="M29" s="4"/>
      <c r="N29" s="4"/>
      <c r="O29" s="4"/>
      <c r="P29" s="4"/>
      <c r="Q29" s="4"/>
      <c r="R29" s="4"/>
      <c r="S29" s="4"/>
      <c r="T29" s="4"/>
      <c r="U29" s="4"/>
      <c r="V29" s="4"/>
      <c r="W29" s="4"/>
      <c r="X29" s="4"/>
      <c r="Y29" s="4"/>
      <c r="Z29" s="4"/>
    </row>
    <row r="30" ht="15.0" customHeight="1">
      <c r="A30" s="43" t="s">
        <v>148</v>
      </c>
      <c r="B30" s="43">
        <f>COUNTIF('Catálogo'!G2:G61,"1.5 *")</f>
        <v>1</v>
      </c>
      <c r="C30" s="43"/>
      <c r="D30" s="43" t="str">
        <f t="shared" si="4"/>
        <v>Coberta</v>
      </c>
      <c r="E30" s="4"/>
      <c r="F30" s="4"/>
      <c r="G30" s="4"/>
      <c r="H30" s="4"/>
      <c r="I30" s="4"/>
      <c r="J30" s="4"/>
      <c r="K30" s="4"/>
      <c r="L30" s="4"/>
      <c r="M30" s="4"/>
      <c r="N30" s="4"/>
      <c r="O30" s="4"/>
      <c r="P30" s="4"/>
      <c r="Q30" s="4"/>
      <c r="R30" s="4"/>
      <c r="S30" s="4"/>
      <c r="T30" s="4"/>
      <c r="U30" s="4"/>
      <c r="V30" s="4"/>
      <c r="W30" s="4"/>
      <c r="X30" s="4"/>
      <c r="Y30" s="4"/>
      <c r="Z30" s="4"/>
    </row>
    <row r="31" ht="15.0" customHeight="1">
      <c r="A31" s="43" t="s">
        <v>165</v>
      </c>
      <c r="B31" s="43">
        <f>COUNTIF('Catálogo'!G2:G61,"1.6 *")</f>
        <v>1</v>
      </c>
      <c r="C31" s="43"/>
      <c r="D31" s="43" t="str">
        <f t="shared" si="4"/>
        <v>Coberta</v>
      </c>
      <c r="E31" s="4"/>
      <c r="F31" s="4"/>
      <c r="G31" s="4"/>
      <c r="H31" s="4"/>
      <c r="I31" s="4"/>
      <c r="J31" s="4"/>
      <c r="K31" s="4"/>
      <c r="L31" s="4"/>
      <c r="M31" s="4"/>
      <c r="N31" s="4"/>
      <c r="O31" s="4"/>
      <c r="P31" s="4"/>
      <c r="Q31" s="4"/>
      <c r="R31" s="4"/>
      <c r="S31" s="4"/>
      <c r="T31" s="4"/>
      <c r="U31" s="4"/>
      <c r="V31" s="4"/>
      <c r="W31" s="4"/>
      <c r="X31" s="4"/>
      <c r="Y31" s="4"/>
      <c r="Z31" s="4"/>
    </row>
    <row r="32" ht="15.0" customHeight="1">
      <c r="A32" s="43" t="s">
        <v>180</v>
      </c>
      <c r="B32" s="43">
        <f>COUNTIF('Catálogo'!G2:G61,"1.7 *")</f>
        <v>0</v>
      </c>
      <c r="C32" s="43"/>
      <c r="D32" s="43" t="str">
        <f t="shared" si="4"/>
        <v>Sem mitigação</v>
      </c>
      <c r="E32" s="4"/>
      <c r="F32" s="4"/>
      <c r="G32" s="4"/>
      <c r="H32" s="4"/>
      <c r="I32" s="4"/>
      <c r="J32" s="4"/>
      <c r="K32" s="4"/>
      <c r="L32" s="4"/>
      <c r="M32" s="4"/>
      <c r="N32" s="4"/>
      <c r="O32" s="4"/>
      <c r="P32" s="4"/>
      <c r="Q32" s="4"/>
      <c r="R32" s="4"/>
      <c r="S32" s="4"/>
      <c r="T32" s="4"/>
      <c r="U32" s="4"/>
      <c r="V32" s="4"/>
      <c r="W32" s="4"/>
      <c r="X32" s="4"/>
      <c r="Y32" s="4"/>
      <c r="Z32" s="4"/>
    </row>
    <row r="33" ht="15.0" customHeight="1">
      <c r="A33" s="43" t="s">
        <v>194</v>
      </c>
      <c r="B33" s="43">
        <f>COUNTIF('Catálogo'!G2:G61,"2.1 *")</f>
        <v>0</v>
      </c>
      <c r="C33" s="43"/>
      <c r="D33" s="43" t="str">
        <f t="shared" si="4"/>
        <v>Sem mitigação</v>
      </c>
      <c r="E33" s="4"/>
      <c r="F33" s="4"/>
      <c r="G33" s="4"/>
      <c r="H33" s="4"/>
      <c r="I33" s="4"/>
      <c r="J33" s="4"/>
      <c r="K33" s="4"/>
      <c r="L33" s="4"/>
      <c r="M33" s="4"/>
      <c r="N33" s="4"/>
      <c r="O33" s="4"/>
      <c r="P33" s="4"/>
      <c r="Q33" s="4"/>
      <c r="R33" s="4"/>
      <c r="S33" s="4"/>
      <c r="T33" s="4"/>
      <c r="U33" s="4"/>
      <c r="V33" s="4"/>
      <c r="W33" s="4"/>
      <c r="X33" s="4"/>
      <c r="Y33" s="4"/>
      <c r="Z33" s="4"/>
    </row>
    <row r="34" ht="15.0" customHeight="1">
      <c r="A34" s="43" t="s">
        <v>202</v>
      </c>
      <c r="B34" s="43">
        <f>COUNTIF('Catálogo'!G2:G61,"2.2 *")</f>
        <v>0</v>
      </c>
      <c r="C34" s="43"/>
      <c r="D34" s="43" t="str">
        <f t="shared" si="4"/>
        <v>Sem mitigação</v>
      </c>
      <c r="E34" s="4"/>
      <c r="F34" s="4"/>
      <c r="G34" s="4"/>
      <c r="H34" s="4"/>
      <c r="I34" s="4"/>
      <c r="J34" s="4"/>
      <c r="K34" s="4"/>
      <c r="L34" s="4"/>
      <c r="M34" s="4"/>
      <c r="N34" s="4"/>
      <c r="O34" s="4"/>
      <c r="P34" s="4"/>
      <c r="Q34" s="4"/>
      <c r="R34" s="4"/>
      <c r="S34" s="4"/>
      <c r="T34" s="4"/>
      <c r="U34" s="4"/>
      <c r="V34" s="4"/>
      <c r="W34" s="4"/>
      <c r="X34" s="4"/>
      <c r="Y34" s="4"/>
      <c r="Z34" s="4"/>
    </row>
    <row r="35" ht="15.0" customHeight="1">
      <c r="A35" s="43" t="s">
        <v>213</v>
      </c>
      <c r="B35" s="43">
        <f>COUNTIF('Catálogo'!G2:G61,"2.3 *")</f>
        <v>2</v>
      </c>
      <c r="C35" s="43"/>
      <c r="D35" s="43" t="str">
        <f t="shared" si="4"/>
        <v>Coberta</v>
      </c>
      <c r="E35" s="4"/>
      <c r="F35" s="4"/>
      <c r="G35" s="4"/>
      <c r="H35" s="4"/>
      <c r="I35" s="4"/>
      <c r="J35" s="4"/>
      <c r="K35" s="4"/>
      <c r="L35" s="4"/>
      <c r="M35" s="4"/>
      <c r="N35" s="4"/>
      <c r="O35" s="4"/>
      <c r="P35" s="4"/>
      <c r="Q35" s="4"/>
      <c r="R35" s="4"/>
      <c r="S35" s="4"/>
      <c r="T35" s="4"/>
      <c r="U35" s="4"/>
      <c r="V35" s="4"/>
      <c r="W35" s="4"/>
      <c r="X35" s="4"/>
      <c r="Y35" s="4"/>
      <c r="Z35" s="4"/>
    </row>
    <row r="36" ht="15.0" customHeight="1">
      <c r="A36" s="43" t="s">
        <v>220</v>
      </c>
      <c r="B36" s="43">
        <f>COUNTIF('Catálogo'!G2:G61,"2.4 *")</f>
        <v>3</v>
      </c>
      <c r="C36" s="43"/>
      <c r="D36" s="43" t="str">
        <f t="shared" si="4"/>
        <v>Coberta</v>
      </c>
      <c r="E36" s="4"/>
      <c r="F36" s="4"/>
      <c r="G36" s="4"/>
      <c r="H36" s="4"/>
      <c r="I36" s="4"/>
      <c r="J36" s="4"/>
      <c r="K36" s="4"/>
      <c r="L36" s="4"/>
      <c r="M36" s="4"/>
      <c r="N36" s="4"/>
      <c r="O36" s="4"/>
      <c r="P36" s="4"/>
      <c r="Q36" s="4"/>
      <c r="R36" s="4"/>
      <c r="S36" s="4"/>
      <c r="T36" s="4"/>
      <c r="U36" s="4"/>
      <c r="V36" s="4"/>
      <c r="W36" s="4"/>
      <c r="X36" s="4"/>
      <c r="Y36" s="4"/>
      <c r="Z36" s="4"/>
    </row>
    <row r="37" ht="15.0" customHeight="1">
      <c r="A37" s="43" t="s">
        <v>138</v>
      </c>
      <c r="B37" s="43">
        <f>COUNTIF('Catálogo'!G2:G61,"3.1 *")</f>
        <v>6</v>
      </c>
      <c r="C37" s="43"/>
      <c r="D37" s="43" t="str">
        <f t="shared" si="4"/>
        <v>Coberta</v>
      </c>
      <c r="E37" s="4"/>
      <c r="F37" s="4"/>
      <c r="G37" s="4"/>
      <c r="H37" s="4"/>
      <c r="I37" s="4"/>
      <c r="J37" s="4"/>
      <c r="K37" s="4"/>
      <c r="L37" s="4"/>
      <c r="M37" s="4"/>
      <c r="N37" s="4"/>
      <c r="O37" s="4"/>
      <c r="P37" s="4"/>
      <c r="Q37" s="4"/>
      <c r="R37" s="4"/>
      <c r="S37" s="4"/>
      <c r="T37" s="4"/>
      <c r="U37" s="4"/>
      <c r="V37" s="4"/>
      <c r="W37" s="4"/>
      <c r="X37" s="4"/>
      <c r="Y37" s="4"/>
      <c r="Z37" s="4"/>
    </row>
    <row r="38" ht="15.0" customHeight="1">
      <c r="A38" s="43" t="s">
        <v>107</v>
      </c>
      <c r="B38" s="43">
        <f>COUNTIF('Catálogo'!G2:G61,"3.2 *")</f>
        <v>1</v>
      </c>
      <c r="C38" s="43"/>
      <c r="D38" s="43" t="str">
        <f t="shared" si="4"/>
        <v>Coberta</v>
      </c>
      <c r="E38" s="4"/>
      <c r="F38" s="4"/>
      <c r="G38" s="4"/>
      <c r="H38" s="4"/>
      <c r="I38" s="4"/>
      <c r="J38" s="4"/>
      <c r="K38" s="4"/>
      <c r="L38" s="4"/>
      <c r="M38" s="4"/>
      <c r="N38" s="4"/>
      <c r="O38" s="4"/>
      <c r="P38" s="4"/>
      <c r="Q38" s="4"/>
      <c r="R38" s="4"/>
      <c r="S38" s="4"/>
      <c r="T38" s="4"/>
      <c r="U38" s="4"/>
      <c r="V38" s="4"/>
      <c r="W38" s="4"/>
      <c r="X38" s="4"/>
      <c r="Y38" s="4"/>
      <c r="Z38" s="4"/>
    </row>
    <row r="39" ht="15.0" customHeight="1">
      <c r="A39" s="43" t="s">
        <v>243</v>
      </c>
      <c r="B39" s="43">
        <f>COUNTIF('Catálogo'!G2:G61,"3.3 *")</f>
        <v>1</v>
      </c>
      <c r="C39" s="43"/>
      <c r="D39" s="43" t="str">
        <f t="shared" si="4"/>
        <v>Coberta</v>
      </c>
      <c r="E39" s="4"/>
      <c r="F39" s="4"/>
      <c r="G39" s="4"/>
      <c r="H39" s="4"/>
      <c r="I39" s="4"/>
      <c r="J39" s="4"/>
      <c r="K39" s="4"/>
      <c r="L39" s="4"/>
      <c r="M39" s="4"/>
      <c r="N39" s="4"/>
      <c r="O39" s="4"/>
      <c r="P39" s="4"/>
      <c r="Q39" s="4"/>
      <c r="R39" s="4"/>
      <c r="S39" s="4"/>
      <c r="T39" s="4"/>
      <c r="U39" s="4"/>
      <c r="V39" s="4"/>
      <c r="W39" s="4"/>
      <c r="X39" s="4"/>
      <c r="Y39" s="4"/>
      <c r="Z39" s="4"/>
    </row>
    <row r="40" ht="15.0" customHeight="1">
      <c r="A40" s="43" t="s">
        <v>250</v>
      </c>
      <c r="B40" s="43">
        <f>COUNTIF('Catálogo'!G2:G61,"3.4 *")</f>
        <v>1</v>
      </c>
      <c r="C40" s="43"/>
      <c r="D40" s="43" t="str">
        <f t="shared" si="4"/>
        <v>Coberta</v>
      </c>
      <c r="E40" s="4"/>
      <c r="F40" s="4"/>
      <c r="G40" s="4"/>
      <c r="H40" s="4"/>
      <c r="I40" s="4"/>
      <c r="J40" s="4"/>
      <c r="K40" s="4"/>
      <c r="L40" s="4"/>
      <c r="M40" s="4"/>
      <c r="N40" s="4"/>
      <c r="O40" s="4"/>
      <c r="P40" s="4"/>
      <c r="Q40" s="4"/>
      <c r="R40" s="4"/>
      <c r="S40" s="4"/>
      <c r="T40" s="4"/>
      <c r="U40" s="4"/>
      <c r="V40" s="4"/>
      <c r="W40" s="4"/>
      <c r="X40" s="4"/>
      <c r="Y40" s="4"/>
      <c r="Z40" s="4"/>
    </row>
    <row r="41" ht="15.0" customHeight="1">
      <c r="A41" s="43" t="s">
        <v>259</v>
      </c>
      <c r="B41" s="43">
        <f>COUNTIF('Catálogo'!G2:G61,"3.5 *")</f>
        <v>4</v>
      </c>
      <c r="C41" s="43"/>
      <c r="D41" s="43" t="str">
        <f t="shared" si="4"/>
        <v>Coberta</v>
      </c>
      <c r="E41" s="4"/>
      <c r="F41" s="4"/>
      <c r="G41" s="4"/>
      <c r="H41" s="4"/>
      <c r="I41" s="4"/>
      <c r="J41" s="4"/>
      <c r="K41" s="4"/>
      <c r="L41" s="4"/>
      <c r="M41" s="4"/>
      <c r="N41" s="4"/>
      <c r="O41" s="4"/>
      <c r="P41" s="4"/>
      <c r="Q41" s="4"/>
      <c r="R41" s="4"/>
      <c r="S41" s="4"/>
      <c r="T41" s="4"/>
      <c r="U41" s="4"/>
      <c r="V41" s="4"/>
      <c r="W41" s="4"/>
      <c r="X41" s="4"/>
      <c r="Y41" s="4"/>
      <c r="Z41" s="4"/>
    </row>
    <row r="42" ht="15.0" customHeight="1">
      <c r="A42" s="43" t="s">
        <v>267</v>
      </c>
      <c r="B42" s="43">
        <f>COUNTIF('Catálogo'!G2:G61,"3.6 *")</f>
        <v>2</v>
      </c>
      <c r="C42" s="43"/>
      <c r="D42" s="43" t="str">
        <f t="shared" si="4"/>
        <v>Coberta</v>
      </c>
      <c r="E42" s="4"/>
      <c r="F42" s="4"/>
      <c r="G42" s="4"/>
      <c r="H42" s="4"/>
      <c r="I42" s="4"/>
      <c r="J42" s="4"/>
      <c r="K42" s="4"/>
      <c r="L42" s="4"/>
      <c r="M42" s="4"/>
      <c r="N42" s="4"/>
      <c r="O42" s="4"/>
      <c r="P42" s="4"/>
      <c r="Q42" s="4"/>
      <c r="R42" s="4"/>
      <c r="S42" s="4"/>
      <c r="T42" s="4"/>
      <c r="U42" s="4"/>
      <c r="V42" s="4"/>
      <c r="W42" s="4"/>
      <c r="X42" s="4"/>
      <c r="Y42" s="4"/>
      <c r="Z42" s="4"/>
    </row>
    <row r="43" ht="15.0" customHeight="1">
      <c r="A43" s="43" t="s">
        <v>48</v>
      </c>
      <c r="B43" s="43">
        <f>COUNTIF('Catálogo'!G2:G61,"4.1 *")</f>
        <v>1</v>
      </c>
      <c r="C43" s="43"/>
      <c r="D43" s="43" t="str">
        <f t="shared" si="4"/>
        <v>Coberta</v>
      </c>
      <c r="E43" s="4"/>
      <c r="F43" s="4"/>
      <c r="G43" s="4"/>
      <c r="H43" s="4"/>
      <c r="I43" s="4"/>
      <c r="J43" s="4"/>
      <c r="K43" s="4"/>
      <c r="L43" s="4"/>
      <c r="M43" s="4"/>
      <c r="N43" s="4"/>
      <c r="O43" s="4"/>
      <c r="P43" s="4"/>
      <c r="Q43" s="4"/>
      <c r="R43" s="4"/>
      <c r="S43" s="4"/>
      <c r="T43" s="4"/>
      <c r="U43" s="4"/>
      <c r="V43" s="4"/>
      <c r="W43" s="4"/>
      <c r="X43" s="4"/>
      <c r="Y43" s="4"/>
      <c r="Z43" s="4"/>
    </row>
    <row r="44" ht="15.0" customHeight="1">
      <c r="A44" s="43" t="s">
        <v>286</v>
      </c>
      <c r="B44" s="43">
        <f>COUNTIF('Catálogo'!G2:G61,"4.2 *")</f>
        <v>1</v>
      </c>
      <c r="C44" s="43"/>
      <c r="D44" s="43" t="str">
        <f t="shared" si="4"/>
        <v>Coberta</v>
      </c>
      <c r="E44" s="4"/>
      <c r="F44" s="4"/>
      <c r="G44" s="4"/>
      <c r="H44" s="4"/>
      <c r="I44" s="4"/>
      <c r="J44" s="4"/>
      <c r="K44" s="4"/>
      <c r="L44" s="4"/>
      <c r="M44" s="4"/>
      <c r="N44" s="4"/>
      <c r="O44" s="4"/>
      <c r="P44" s="4"/>
      <c r="Q44" s="4"/>
      <c r="R44" s="4"/>
      <c r="S44" s="4"/>
      <c r="T44" s="4"/>
      <c r="U44" s="4"/>
      <c r="V44" s="4"/>
      <c r="W44" s="4"/>
      <c r="X44" s="4"/>
      <c r="Y44" s="4"/>
      <c r="Z44" s="4"/>
    </row>
    <row r="45" ht="15.0" customHeight="1">
      <c r="A45" s="43" t="s">
        <v>291</v>
      </c>
      <c r="B45" s="43">
        <f>COUNTIF('Catálogo'!G2:G61,"4.3 *")</f>
        <v>2</v>
      </c>
      <c r="C45" s="43"/>
      <c r="D45" s="43" t="str">
        <f t="shared" si="4"/>
        <v>Coberta</v>
      </c>
      <c r="E45" s="4"/>
      <c r="F45" s="4"/>
      <c r="G45" s="4"/>
      <c r="H45" s="4"/>
      <c r="I45" s="4"/>
      <c r="J45" s="4"/>
      <c r="K45" s="4"/>
      <c r="L45" s="4"/>
      <c r="M45" s="4"/>
      <c r="N45" s="4"/>
      <c r="O45" s="4"/>
      <c r="P45" s="4"/>
      <c r="Q45" s="4"/>
      <c r="R45" s="4"/>
      <c r="S45" s="4"/>
      <c r="T45" s="4"/>
      <c r="U45" s="4"/>
      <c r="V45" s="4"/>
      <c r="W45" s="4"/>
      <c r="X45" s="4"/>
      <c r="Y45" s="4"/>
      <c r="Z45" s="4"/>
    </row>
    <row r="46" ht="15.0" customHeight="1">
      <c r="A46" s="43" t="s">
        <v>300</v>
      </c>
      <c r="B46" s="43">
        <f>COUNTIF('Catálogo'!G2:G61,"4.4 *")</f>
        <v>0</v>
      </c>
      <c r="C46" s="43"/>
      <c r="D46" s="43" t="str">
        <f t="shared" si="4"/>
        <v>Sem mitigação</v>
      </c>
      <c r="E46" s="4"/>
      <c r="F46" s="4"/>
      <c r="G46" s="4"/>
      <c r="H46" s="4"/>
      <c r="I46" s="4"/>
      <c r="J46" s="4"/>
      <c r="K46" s="4"/>
      <c r="L46" s="4"/>
      <c r="M46" s="4"/>
      <c r="N46" s="4"/>
      <c r="O46" s="4"/>
      <c r="P46" s="4"/>
      <c r="Q46" s="4"/>
      <c r="R46" s="4"/>
      <c r="S46" s="4"/>
      <c r="T46" s="4"/>
      <c r="U46" s="4"/>
      <c r="V46" s="4"/>
      <c r="W46" s="4"/>
      <c r="X46" s="4"/>
      <c r="Y46" s="4"/>
      <c r="Z46" s="4"/>
    </row>
    <row r="47" ht="15.0" customHeight="1">
      <c r="A47" s="43" t="s">
        <v>306</v>
      </c>
      <c r="B47" s="43">
        <f>COUNTIF('Catálogo'!G2:G61,"4.5 *")</f>
        <v>1</v>
      </c>
      <c r="C47" s="43"/>
      <c r="D47" s="43" t="str">
        <f t="shared" si="4"/>
        <v>Coberta</v>
      </c>
      <c r="E47" s="4"/>
      <c r="F47" s="4"/>
      <c r="G47" s="4"/>
      <c r="H47" s="4"/>
      <c r="I47" s="4"/>
      <c r="J47" s="4"/>
      <c r="K47" s="4"/>
      <c r="L47" s="4"/>
      <c r="M47" s="4"/>
      <c r="N47" s="4"/>
      <c r="O47" s="4"/>
      <c r="P47" s="4"/>
      <c r="Q47" s="4"/>
      <c r="R47" s="4"/>
      <c r="S47" s="4"/>
      <c r="T47" s="4"/>
      <c r="U47" s="4"/>
      <c r="V47" s="4"/>
      <c r="W47" s="4"/>
      <c r="X47" s="4"/>
      <c r="Y47" s="4"/>
      <c r="Z47" s="4"/>
    </row>
    <row r="48" ht="15.0" customHeight="1">
      <c r="A48" s="43" t="s">
        <v>315</v>
      </c>
      <c r="B48" s="43">
        <f>COUNTIF('Catálogo'!G2:G61,"4.6 *")</f>
        <v>1</v>
      </c>
      <c r="C48" s="43"/>
      <c r="D48" s="43" t="str">
        <f t="shared" si="4"/>
        <v>Coberta</v>
      </c>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43.5" customHeight="1">
      <c r="A50" s="36" t="s">
        <v>2460</v>
      </c>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0" customHeight="1">
      <c r="A52" s="37" t="s">
        <v>249</v>
      </c>
      <c r="B52" s="37" t="s">
        <v>2247</v>
      </c>
      <c r="C52" s="37"/>
      <c r="D52" s="37" t="s">
        <v>42</v>
      </c>
      <c r="E52" s="4"/>
      <c r="F52" s="4"/>
      <c r="G52" s="4"/>
      <c r="H52" s="4"/>
      <c r="I52" s="4"/>
      <c r="J52" s="4"/>
      <c r="K52" s="4"/>
      <c r="L52" s="4"/>
      <c r="M52" s="4"/>
      <c r="N52" s="4"/>
      <c r="O52" s="4"/>
      <c r="P52" s="4"/>
      <c r="Q52" s="4"/>
      <c r="R52" s="4"/>
      <c r="S52" s="4"/>
      <c r="T52" s="4"/>
      <c r="U52" s="4"/>
      <c r="V52" s="4"/>
      <c r="W52" s="4"/>
      <c r="X52" s="4"/>
      <c r="Y52" s="4"/>
      <c r="Z52" s="4"/>
    </row>
    <row r="53" ht="15.0" customHeight="1">
      <c r="A53" s="39" t="s">
        <v>2464</v>
      </c>
      <c r="B53" s="43">
        <f>COUNTIF(Triagem!U2:U1001,"Sim")</f>
        <v>558</v>
      </c>
      <c r="C53" s="47"/>
      <c r="D53" s="47"/>
      <c r="E53" s="4"/>
      <c r="F53" s="4"/>
      <c r="G53" s="4"/>
      <c r="H53" s="4"/>
      <c r="I53" s="4"/>
      <c r="J53" s="4"/>
      <c r="K53" s="4"/>
      <c r="L53" s="4"/>
      <c r="M53" s="4"/>
      <c r="N53" s="4"/>
      <c r="O53" s="4"/>
      <c r="P53" s="4"/>
      <c r="Q53" s="4"/>
      <c r="R53" s="4"/>
      <c r="S53" s="4"/>
      <c r="T53" s="4"/>
      <c r="U53" s="4"/>
      <c r="V53" s="4"/>
      <c r="W53" s="4"/>
      <c r="X53" s="4"/>
      <c r="Y53" s="4"/>
      <c r="Z53" s="4"/>
    </row>
    <row r="54" ht="15.0" customHeight="1">
      <c r="A54" s="39" t="s">
        <v>2467</v>
      </c>
      <c r="B54" s="43">
        <f>COUNTA(Triagem!M2:M1001)</f>
        <v>40</v>
      </c>
      <c r="C54" s="47"/>
      <c r="D54" s="47"/>
      <c r="E54" s="4"/>
      <c r="F54" s="4"/>
      <c r="G54" s="4"/>
      <c r="H54" s="4"/>
      <c r="I54" s="4"/>
      <c r="J54" s="4"/>
      <c r="K54" s="4"/>
      <c r="L54" s="4"/>
      <c r="M54" s="4"/>
      <c r="N54" s="4"/>
      <c r="O54" s="4"/>
      <c r="P54" s="4"/>
      <c r="Q54" s="4"/>
      <c r="R54" s="4"/>
      <c r="S54" s="4"/>
      <c r="T54" s="4"/>
      <c r="U54" s="4"/>
      <c r="V54" s="4"/>
      <c r="W54" s="4"/>
      <c r="X54" s="4"/>
      <c r="Y54" s="4"/>
      <c r="Z54" s="4"/>
    </row>
    <row r="55" ht="30.0" customHeight="1">
      <c r="A55" s="39" t="s">
        <v>2470</v>
      </c>
      <c r="B55" s="43">
        <f>SUMPRODUCT((Triagem!G2:G1001&lt;&gt;"")*(Triagem!G2:G1001&lt;&gt;Triagem!Q2:Q1001))</f>
        <v>26</v>
      </c>
      <c r="C55" s="47"/>
      <c r="D55" s="47"/>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A1:D1"/>
    <mergeCell ref="A50:D50"/>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2026-10-13T14:27:05Z</dcterms:created>
  <dc:creator>openpyxl</dc:creator>
</cp:coreProperties>
</file>

<file path=docProps/custom.xml><?xml version="1.0" encoding="utf-8"?>
<Properties xmlns="http://schemas.openxmlformats.org/officeDocument/2006/custom-properties" xmlns:vt="http://schemas.openxmlformats.org/officeDocument/2006/docPropsVTypes"/>
</file>