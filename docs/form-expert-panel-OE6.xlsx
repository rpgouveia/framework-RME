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4"/>
    <sheet state="visible" name="Termo" sheetId="2" r:id="rId5"/>
    <sheet state="visible" name="Rodada 1" sheetId="3" r:id="rId6"/>
    <sheet state="visible" name="Rodada 2" sheetId="4" r:id="rId7"/>
    <sheet state="visible" name="Consolidação" sheetId="5" r:id="rId8"/>
    <sheet state="visible" name="Análise" sheetId="6" r:id="rId9"/>
  </sheets>
  <definedNames/>
  <calcPr/>
  <extLst>
    <ext uri="GoogleSheetsCustomDataVersion2">
      <go:sheetsCustomData xmlns:go="http://customooxmlschemas.google.com/" r:id="rId10" roundtripDataChecksum="X/WHax3q2+ih1qV4FXJq92pNUUx7Oz+qxatFt6R1Hg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
ID#AAACG9sN8Kw
Unknown Author    (2026-10-17 06:24:02)
Exemplo: Governança e conformidade</t>
      </text>
    </comment>
    <comment authorId="0" ref="B17">
      <text>
        <t xml:space="preserve">======
ID#AAACG9sN8LQ
Unknown Author    (2026-10-17 06:24:02)
Exemplo: E01</t>
      </text>
    </comment>
    <comment authorId="0" ref="B16">
      <text>
        <t xml:space="preserve">======
ID#AAACG9sN8Ks
Unknown Author    (2026-10-17 06:24:02)
Exemplo: Aceito participar</t>
      </text>
    </comment>
    <comment authorId="0" ref="B19">
      <text>
        <t xml:space="preserve">======
ID#AAACG9sN8LU
Unknown Author    (2026-10-17 06:24:02)
Exemplo: 5</t>
      </text>
    </comment>
  </commentList>
  <extLst>
    <ext uri="GoogleSheetsCustomDataVersion2">
      <go:sheetsCustomData xmlns:go="http://customooxmlschemas.google.com/" r:id="rId1" roundtripDataSignature="AMtx7mhF8RO4hqW1mCneVXlqKLjnzKZKU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ID#AAACG9sN8LE
Unknown Author    (2026-10-17 06:24:02)
Exemplo: E01</t>
      </text>
    </comment>
  </commentList>
  <extLst>
    <ext uri="GoogleSheetsCustomDataVersion2">
      <go:sheetsCustomData xmlns:go="http://customooxmlschemas.google.com/" r:id="rId1" roundtripDataSignature="AMtx7mgrn3Ohm3oTgqlrhR0V67+JuxJqM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2">
      <text>
        <t xml:space="preserve">======
ID#AAACG9sN8LY
Unknown Author    (2026-10-17 06:24:02)
Preenchido pela coordenação. Exemplo: 90 (82,5 a 97,5)</t>
      </text>
    </comment>
    <comment authorId="0" ref="B41">
      <text>
        <t xml:space="preserve">======
ID#AAACG9sN8K0
Unknown Author    (2026-10-17 06:24:02)
Preenchido pela coordenação. Exemplo: 90 (82,5 a 97,5)</t>
      </text>
    </comment>
    <comment authorId="0" ref="B40">
      <text>
        <t xml:space="preserve">======
ID#AAACG9sN8Ko
Unknown Author    (2026-10-17 06:24:02)
Preenchido pela coordenação. Exemplo: 90 (82,5 a 97,5)</t>
      </text>
    </comment>
    <comment authorId="0" ref="B4">
      <text>
        <t xml:space="preserve">======
ID#AAACG9sN8LI
Unknown Author    (2026-10-17 06:24:02)
Exemplo: E01</t>
      </text>
    </comment>
  </commentList>
  <extLst>
    <ext uri="GoogleSheetsCustomDataVersion2">
      <go:sheetsCustomData xmlns:go="http://customooxmlschemas.google.com/" r:id="rId1" roundtripDataSignature="AMtx7mhvt8oUx7W6eJZiGLDGnFu6IDW+s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ID#AAACG9sN8K4
Unknown Author    (2026-10-17 06:24:02)
Uma linha por especialista, identificado só pelo código (E01, E02...). Até 60 linhas, o limite do comando. Exportar esta aba como CSV, sem a aba Análise.</t>
      </text>
    </comment>
  </commentList>
  <extLst>
    <ext uri="GoogleSheetsCustomDataVersion2">
      <go:sheetsCustomData xmlns:go="http://customooxmlschemas.google.com/" r:id="rId1" roundtripDataSignature="AMtx7mh+2kMf6OPrdwX8ammq78zEzGgCB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7">
      <text>
        <t xml:space="preserve">======
ID#AAACG9sN8LA
Unknown Author    (2026-10-17 06:24:02)
Valor da decisão 0017, no arquivo database/data/protocols/c3-monitoring-protocol.json. Atualizar se o protocolo mudar.</t>
      </text>
    </comment>
    <comment authorId="0" ref="C46">
      <text>
        <t xml:space="preserve">======
ID#AAACG9sN8K8
Unknown Author    (2026-10-17 06:24:02)
Valor da decisão 0017, no arquivo database/data/protocols/c3-monitoring-protocol.json. Atualizar se o protocolo mudar.</t>
      </text>
    </comment>
    <comment authorId="0" ref="C45">
      <text>
        <t xml:space="preserve">======
ID#AAACG9sN8LM
Unknown Author    (2026-10-17 06:24:02)
Valor da decisão 0017, no arquivo database/data/protocols/c3-monitoring-protocol.json. Atualizar se o protocolo mudar.</t>
      </text>
    </comment>
  </commentList>
  <extLst>
    <ext uri="GoogleSheetsCustomDataVersion2">
      <go:sheetsCustomData xmlns:go="http://customooxmlschemas.google.com/" r:id="rId1" roundtripDataSignature="AMtx7miHkWa+kEts0ZzjDwLN3leHxFWQGg=="/>
    </ext>
  </extLst>
</comments>
</file>

<file path=xl/sharedStrings.xml><?xml version="1.0" encoding="utf-8"?>
<sst xmlns="http://schemas.openxmlformats.org/spreadsheetml/2006/main" count="330" uniqueCount="182">
  <si>
    <t>Formulário de avaliação do Framework RME por painel de especialistas</t>
  </si>
  <si>
    <t>Painel de especialistas do Framework RME</t>
  </si>
  <si>
    <t>Rodada 1: refinamento</t>
  </si>
  <si>
    <t>Rodada 2: avaliação</t>
  </si>
  <si>
    <t>Apresentação</t>
  </si>
  <si>
    <t>Para cada item, indique se a redação é clara e, se quiser, sugira outra redação. Nesta rodada não se pergunta se o item é essencial: isso fica para a segunda rodada. Consulte o material de apoio (síntese, glossário e vídeo do protótipo).</t>
  </si>
  <si>
    <t>Anexo do projeto. Instrumento do painel Delphi do OE6, elaborado conforme a decisão 0027 e o protocolo do painel (docs/expert-panel-protocol.md). O painel não foi executado neste trabalho; o instrumento fica pronto para execução futura.</t>
  </si>
  <si>
    <t>Considerando o propósito do Framework RME, classifique cada elemento como Essencial, Útil, mas não essencial ou Desnecessário. Todas as respostas são obrigatórias.</t>
  </si>
  <si>
    <t>Este questionário integra a avaliação do Framework RME (Risco, Mitigação e Evidência), desenvolvido na disciplina de Pesquisa Aplicada da Pontifícia Universidade Católica do Paraná (PUCPR) por Angelo Andrioli Netho, Fernando Alonso Piroga da Silva, Hugo Fagundes Faria Santos e Renato Pestana de Gouveia, sob orientação de [nome do professor]. O framework apoia o acompanhamento de riscos de sistemas de IA, das mitigações adotadas e das evidências de sua eficácia, inclusive depois da implantação.</t>
  </si>
  <si>
    <t>Abas</t>
  </si>
  <si>
    <t>Código do especialista</t>
  </si>
  <si>
    <t>Termo</t>
  </si>
  <si>
    <t>Termo de consentimento livre e esclarecido</t>
  </si>
  <si>
    <t>Objetivo. A pesquisa avalia a validade de conteúdo e a utilidade percebida do framework por meio de um painel Delphi de especialistas.</t>
  </si>
  <si>
    <t>Apresentação da pesquisa, termo de consentimento e identificação do especialista. Preenchida uma vez, antes da primeira rodada.</t>
  </si>
  <si>
    <t>Participação. Consiste em duas rodadas deste questionário, de cerca de [tempo] minutos cada, com intervalo aproximado de uma semana. Na primeira, você avalia a clareza dos itens e sugere intervalos de revisão; na segunda, avalia cada item e recebe um resumo anônimo das respostas da primeira.</t>
  </si>
  <si>
    <t>Rodada 1</t>
  </si>
  <si>
    <t>Refinamento: clareza da redação de cada item, intervalos de revisão sugeridos e elementos ausentes.</t>
  </si>
  <si>
    <t>Voluntariedade. A participação é voluntária e pode ser interrompida a qualquer momento, sem prejuízo e sem necessidade de justificativa.</t>
  </si>
  <si>
    <t>Rodada 2</t>
  </si>
  <si>
    <t>Avaliação: escala de Lawshe (1975) para cada item e nova coleta dos intervalos, com o resumo da primeira rodada como retorno.</t>
  </si>
  <si>
    <t>Sigilo. As respostas são identificadas apenas por um código e relatadas de forma agregada. Comentários eventualmente citados no trabalho não identificam o autor. Nome e contato ficam em lista separada, acessível somente aos pesquisadores.</t>
  </si>
  <si>
    <t>Consolidação</t>
  </si>
  <si>
    <t>Uso da coordenação. Uma linha por especialista com as respostas da segunda rodada, no formato lido pelo comando expert-panel:cvr. Exportar esta aba como CSV.</t>
  </si>
  <si>
    <t>Guarda dos dados. Os dados são acessíveis somente aos pesquisadores e ao orientador e serão mantidos por [prazo]. Apenas as respostas anonimizadas integram o repositório público do projeto.</t>
  </si>
  <si>
    <t>Análise</t>
  </si>
  <si>
    <t>Uso da coordenação. Conferência do CVR, do valor crítico, dos critérios do OE3 e do OE6 e dos intervalos, calculada a partir da aba Consolidação. O resultado oficial é o do comando expert-panel:cvr.</t>
  </si>
  <si>
    <t>Riscos e benefícios. Os riscos se limitam ao tempo dedicado às respostas. Não há benefício direto; a contribuição apoia o desenvolvimento de práticas de governança de IA.</t>
  </si>
  <si>
    <t>Legenda</t>
  </si>
  <si>
    <t>Contato. [e-mail do grupo]; orientador: [e-mail do orientador].</t>
  </si>
  <si>
    <t>Identificação</t>
  </si>
  <si>
    <t>Resumo da rodada 1 (preenchido pela coordenação)</t>
  </si>
  <si>
    <t>Declaro que li o termo e aceito participar</t>
  </si>
  <si>
    <t>Item</t>
  </si>
  <si>
    <t>Respondentes da rodada 1</t>
  </si>
  <si>
    <t>Células amarelas</t>
  </si>
  <si>
    <t>Enunciado</t>
  </si>
  <si>
    <t>Campos a preencher. Nas colunas com lista, escolha uma das opções.</t>
  </si>
  <si>
    <t>A redação é clara?</t>
  </si>
  <si>
    <t>Demais células</t>
  </si>
  <si>
    <t>Sugestão de redação ou comentário (opcional)</t>
  </si>
  <si>
    <t>Texto fixo do instrumento ou fórmulas; não alterar.</t>
  </si>
  <si>
    <t>Fluxo</t>
  </si>
  <si>
    <t>Itens com redação alterada (e motivo)</t>
  </si>
  <si>
    <t>1</t>
  </si>
  <si>
    <t>A. Modelo de vínculo (C1)</t>
  </si>
  <si>
    <t>Enviar ao especialista as abas Termo e Rodada 1, com o material de apoio (síntese, glossário e vídeo do protótipo).</t>
  </si>
  <si>
    <t>2</t>
  </si>
  <si>
    <t>Consolidar a primeira rodada conforme a Seção 5.2 do protocolo: ajustar a redação dos itens, registrar as alterações e calcular a mediana e os quartis dos intervalos.</t>
  </si>
  <si>
    <t>3</t>
  </si>
  <si>
    <t>Preencher, na aba Rodada 2, o resumo da primeira rodada e enviá-la apenas a quem respondeu à primeira.</t>
  </si>
  <si>
    <t>Este elemento é</t>
  </si>
  <si>
    <t>4</t>
  </si>
  <si>
    <t>Perfil</t>
  </si>
  <si>
    <t>Transcrever as respostas da segunda rodada para a aba Consolidação, uma linha por especialista, identificado só pelo código.</t>
  </si>
  <si>
    <t>5</t>
  </si>
  <si>
    <t>Exportar a aba Consolidação como CSV (round-2-responses.csv) e rodar php artisan expert-panel:cvr.</t>
  </si>
  <si>
    <t>Exemplo de linha</t>
  </si>
  <si>
    <t>Na aba Consolidação: Respondente = E01; cada coluna de item = Essencial, Útil, mas não essencial ou Desnecessário; [INT-ALTO] = 90; [INT-LIMITADO] = 180; [INT-MINIMO] = 365 (números inteiros de dias).</t>
  </si>
  <si>
    <t>MOD-1</t>
  </si>
  <si>
    <t>Toda mitigação adotada em um sistema de IA é registrada como vínculo com um risco declarado desse sistema: não há mitigação adotada sem risco correspondente.</t>
  </si>
  <si>
    <t>MOD-2</t>
  </si>
  <si>
    <t>Cada vínculo tem um responsável, identificado por um papel organizacional (cargo e área), e não por uma pessoa.</t>
  </si>
  <si>
    <t>MOD-3</t>
  </si>
  <si>
    <t>O status do vínculo tem duas dimensões: o progresso da implementação e a verificação, que distingue a mitigação apenas declarada da comprovada por evidência.</t>
  </si>
  <si>
    <t>Anos de experiência no perfil</t>
  </si>
  <si>
    <t>MOD-4</t>
  </si>
  <si>
    <t>Um vínculo só passa a verificado mediante evidência registrada; depois de voltar à reavaliação, uma nova verificação exige evidência nova.</t>
  </si>
  <si>
    <t>MOD-5</t>
  </si>
  <si>
    <t>O histórico de status e as evidências são somente de inclusão: registros anteriores não são editados nem apagados.</t>
  </si>
  <si>
    <t>B. Catálogo de mitigações (C2)</t>
  </si>
  <si>
    <t>Produção acadêmica na área (se houver)</t>
  </si>
  <si>
    <t>CAT-1</t>
  </si>
  <si>
    <t>As mitigações do catálogo são organizadas nas quatro categorias de Saeri et al. (2025): governança e supervisão; técnico e segurança; processos operacionais; transparência e responsabilização.</t>
  </si>
  <si>
    <t>CAT-2</t>
  </si>
  <si>
    <t>Cada mitigação do catálogo indica os subdomínios de risco da taxonomia do MIT AI Risk Repository que ela reduz diretamente e a evidência esperada de sua aplicação.</t>
  </si>
  <si>
    <t>O código é atribuído pela coordenação no convite. Não informe o nome neste arquivo.</t>
  </si>
  <si>
    <t>CAT-3</t>
  </si>
  <si>
    <t>Cada mitigação do catálogo traz uma estimativa qualitativa de custo (baixo, médio ou alto) e o nível de incerteza dessa estimativa.</t>
  </si>
  <si>
    <t>C. Protocolo de monitoramento (C3)</t>
  </si>
  <si>
    <t>DEF-C1</t>
  </si>
  <si>
    <t>A ocorrência é observada em um sistema de IA em operação, isto é, usado em decisão, interação ou processo real cujos efeitos alcançam pessoas ou bens reais, inclusive em piloto, implantação em etapas ou uso interno. Ocorrências em testes, avaliações ou exercícios controlados são resultados de teste.</t>
  </si>
  <si>
    <t>DEF-C2</t>
  </si>
  <si>
    <t>A ocorrência decorre do funcionamento, do uso ou de falha do sistema, inclusive quando ele opera conforme projetado.</t>
  </si>
  <si>
    <t>DEF-C3a</t>
  </si>
  <si>
    <t>A ocorrência causou dano (incidente) ou poderia plausivelmente tê-lo causado (quase-incidente); ambos são eventos adversos.</t>
  </si>
  <si>
    <t>DEF-C3b</t>
  </si>
  <si>
    <t>O dano considerado pode recair sobre pessoas ou grupos, sobre a organização que opera o sistema ou sobre o ecossistema, incluindo o meio ambiente.</t>
  </si>
  <si>
    <t>DEF-C4</t>
  </si>
  <si>
    <t>A ocorrência pode ser associada a ao menos um subdomínio da taxonomia de riscos adotada, haja ou não risco cadastrado nesse subdomínio.</t>
  </si>
  <si>
    <t>DEF-C5</t>
  </si>
  <si>
    <t>Basta a suspeita fundamentada para registrar. A relação causal é apurada na reavaliação do vínculo.</t>
  </si>
  <si>
    <t>DEF-C6</t>
  </si>
  <si>
    <t>Uma ocorrência barrada por mitigação antes de causar dano é registrada como quase-incidente, podendo indicar o vínculo que a interceptou.</t>
  </si>
  <si>
    <t>MON-1</t>
  </si>
  <si>
    <t>O registro de um evento adverso devolve à reavaliação os vínculos verificados do sistema cujo risco está em algum dos subdomínios do evento.</t>
  </si>
  <si>
    <t>MON-2</t>
  </si>
  <si>
    <t>O registro de uma mudança do sistema (nova versão do modelo ou alteração na base de dados) devolve à reavaliação os vínculos verificados dos subdomínios afetados, ou todos, quando os subdomínios afetados não são informados.</t>
  </si>
  <si>
    <t>MON-3</t>
  </si>
  <si>
    <t>A verificação de cada vínculo vale por um prazo proporcional à faixa de risco do sistema no EU AI Act; vencido o prazo, o vínculo volta à reavaliação.</t>
  </si>
  <si>
    <t>D. Protótipo (C4)</t>
  </si>
  <si>
    <t>PRO-1</t>
  </si>
  <si>
    <t>O protótipo exporta, por sistema de IA, um relatório de rastreabilidade que liga riscos, mitigações, responsáveis, evidências, histórico de status, reavaliações, eventos adversos e mudanças do sistema.</t>
  </si>
  <si>
    <t>PRO-2</t>
  </si>
  <si>
    <t>A tela de acompanhamento do protótipo mostra os vínculos que aguardam reavaliação, separados pelo gatilho que os originou: vencimento, evento adverso, mudança do sistema, reclassificação ou decisão manual.</t>
  </si>
  <si>
    <t>PRO-3</t>
  </si>
  <si>
    <t>O protótipo alerta quando um evento adverso ou uma mudança do sistema aponta um subdomínio de risco sem risco cadastrado para o sistema.</t>
  </si>
  <si>
    <t>Intervalos de revisão</t>
  </si>
  <si>
    <t>A mesma pergunta da rodada 1, agora com a mediana e os quartis das respostas como referência. Informe novamente o intervalo, em dias, que considera adequado.</t>
  </si>
  <si>
    <t>Faixa</t>
  </si>
  <si>
    <t>Rodada 1: mediana (1º a 3º quartil)</t>
  </si>
  <si>
    <t>Seu intervalo (dias)</t>
  </si>
  <si>
    <t>Alto risco</t>
  </si>
  <si>
    <t>Risco limitado</t>
  </si>
  <si>
    <t>Risco mínimo</t>
  </si>
  <si>
    <t>Comentários gerais (opcional)</t>
  </si>
  <si>
    <t>Na ausência de eventos adversos, em quantos dias uma mitigação já verificada deveria ser revista em um sistema de IA de cada faixa de risco do EU AI Act? Informe um número inteiro de dias.</t>
  </si>
  <si>
    <t>Descrição</t>
  </si>
  <si>
    <t>Intervalo (dias)</t>
  </si>
  <si>
    <t>Justificativa (opcional)</t>
  </si>
  <si>
    <t>Sistemas de alto risco (EU AI Act, art. 6 e Anexo III).</t>
  </si>
  <si>
    <t>Sistemas sujeitos a obrigações de transparência.</t>
  </si>
  <si>
    <t>Demais sistemas.</t>
  </si>
  <si>
    <t>Elementos ausentes</t>
  </si>
  <si>
    <t>Há algum elemento essencial ao acompanhamento de riscos de sistemas de IA que o framework não contempla? (opcional)</t>
  </si>
  <si>
    <t>Respondente</t>
  </si>
  <si>
    <t>[MOD-1]</t>
  </si>
  <si>
    <t>[MOD-2]</t>
  </si>
  <si>
    <t>[MOD-3]</t>
  </si>
  <si>
    <t>[MOD-4]</t>
  </si>
  <si>
    <t>[MOD-5]</t>
  </si>
  <si>
    <t>[CAT-1]</t>
  </si>
  <si>
    <t>[CAT-2]</t>
  </si>
  <si>
    <t>[CAT-3]</t>
  </si>
  <si>
    <t>[DEF-C1]</t>
  </si>
  <si>
    <t>[DEF-C2]</t>
  </si>
  <si>
    <t>[DEF-C3a]</t>
  </si>
  <si>
    <t>[DEF-C3b]</t>
  </si>
  <si>
    <t>[DEF-C4]</t>
  </si>
  <si>
    <t>[DEF-C5]</t>
  </si>
  <si>
    <t>[DEF-C6]</t>
  </si>
  <si>
    <t>[MON-1]</t>
  </si>
  <si>
    <t>[MON-2]</t>
  </si>
  <si>
    <t>[MON-3]</t>
  </si>
  <si>
    <t>[PRO-1]</t>
  </si>
  <si>
    <t>[PRO-2]</t>
  </si>
  <si>
    <t>[PRO-3]</t>
  </si>
  <si>
    <t>[INT-ALTO]</t>
  </si>
  <si>
    <t>[INT-LIMITADO]</t>
  </si>
  <si>
    <t>[INT-MINIMO]</t>
  </si>
  <si>
    <t>Análise da rodada 2 (conferência)</t>
  </si>
  <si>
    <t>Calculada a partir da aba Consolidação. Conferência do resultado; o resultado oficial, relatado no trabalho, é o gerado pelo comando expert-panel:cvr (decisão 0027).</t>
  </si>
  <si>
    <t>Respondentes (N)</t>
  </si>
  <si>
    <t>nₑ crítico</t>
  </si>
  <si>
    <t>Menor nₑ com P(X ≥ nₑ) &lt; 0,05, X ~ Binomial(N; 0,5), unilateral (Ayre e Scally, 2014). Exige N entre 5 e 60.</t>
  </si>
  <si>
    <t>CVR crítico</t>
  </si>
  <si>
    <t>Bloco</t>
  </si>
  <si>
    <t>Objetivo</t>
  </si>
  <si>
    <t>Essencial</t>
  </si>
  <si>
    <t>Útil</t>
  </si>
  <si>
    <t>Desnecessário</t>
  </si>
  <si>
    <t>CVR</t>
  </si>
  <si>
    <t>Mantido</t>
  </si>
  <si>
    <t>OE6</t>
  </si>
  <si>
    <t>OE3; OE6</t>
  </si>
  <si>
    <t>Critérios de sucesso e CVI</t>
  </si>
  <si>
    <t>Medida</t>
  </si>
  <si>
    <t>Itens</t>
  </si>
  <si>
    <t>Mantidos</t>
  </si>
  <si>
    <t>Atendido</t>
  </si>
  <si>
    <t>OE3 (itens da definição)</t>
  </si>
  <si>
    <t>OE6 (todos os itens)</t>
  </si>
  <si>
    <t>CVI</t>
  </si>
  <si>
    <t>Todos os itens</t>
  </si>
  <si>
    <t>Geral</t>
  </si>
  <si>
    <t>Intervalos de revisão (rodada 2)</t>
  </si>
  <si>
    <t>Protocolo (dias)</t>
  </si>
  <si>
    <t>Mediana</t>
  </si>
  <si>
    <t>1º quartil</t>
  </si>
  <si>
    <t>3º quartil</t>
  </si>
  <si>
    <t>Sustentado</t>
  </si>
  <si>
    <t>Quartis por interpolação linear (função QUARTIL), como no comando. Sustentado: valor do protocolo entre o 1º e o 3º quartil, limites incluídos.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</si>
</sst>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1.0"/>
      <color theme="1"/>
      <name val="Calibri"/>
      <scheme val="minor"/>
    </font>
    <font>
      <b/>
      <sz val="14.0"/>
      <color theme="1"/>
      <name val="Arial"/>
    </font>
    <font>
      <b/>
      <sz val="11.0"/>
      <color theme="1"/>
      <name val="Arial"/>
    </font>
    <font>
      <i/>
      <sz val="11.0"/>
      <color rgb="FF595959"/>
      <name val="Arial"/>
    </font>
    <font>
      <sz val="11.0"/>
      <color theme="1"/>
      <name val="Arial"/>
    </font>
    <font>
      <b/>
      <sz val="11.0"/>
      <color rgb="FFFFFFFF"/>
      <name val="Arial"/>
    </font>
    <font/>
    <font>
      <sz val="11.0"/>
      <color rgb="FF0000FF"/>
      <name val="Arial"/>
    </font>
  </fonts>
  <fills count="5">
    <fill>
      <patternFill patternType="none"/>
    </fill>
    <fill>
      <patternFill patternType="lightGray"/>
    </fill>
    <fill>
      <patternFill patternType="solid">
        <fgColor rgb="FFFFF2CC"/>
        <bgColor rgb="FFFFF2CC"/>
      </patternFill>
    </fill>
    <fill>
      <patternFill patternType="solid">
        <fgColor rgb="FF1F3864"/>
        <bgColor rgb="FF1F3864"/>
      </patternFill>
    </fill>
    <fill>
      <patternFill patternType="solid">
        <fgColor rgb="FFD9E1F2"/>
        <bgColor rgb="FFD9E1F2"/>
      </patternFill>
    </fill>
  </fills>
  <borders count="9">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top/>
      <bottom/>
    </border>
    <border>
      <top/>
      <bottom/>
    </border>
    <border>
      <right/>
      <top/>
      <bottom/>
    </border>
    <border>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4" numFmtId="0" xfId="0" applyAlignment="1" applyBorder="1" applyFill="1" applyFont="1">
      <alignment shrinkToFit="0" vertical="top" wrapText="1"/>
    </xf>
    <xf borderId="1" fillId="3" fontId="5" numFmtId="0" xfId="0" applyAlignment="1" applyBorder="1" applyFill="1" applyFont="1">
      <alignment horizontal="center" shrinkToFit="0" vertical="top" wrapText="1"/>
    </xf>
    <xf borderId="1" fillId="2" fontId="2" numFmtId="0" xfId="0" applyAlignment="1" applyBorder="1" applyFill="1" applyFont="1">
      <alignment shrinkToFit="0" vertical="top" wrapText="1"/>
    </xf>
    <xf borderId="2" fillId="2" fontId="4" numFmtId="0" xfId="0" applyAlignment="1" applyBorder="1" applyFill="1" applyFont="1">
      <alignment shrinkToFit="0" vertical="top" wrapText="1"/>
    </xf>
    <xf borderId="3" fillId="0" fontId="6" numFmtId="0" xfId="0" applyBorder="1" applyFont="1"/>
    <xf borderId="4" fillId="0" fontId="6" numFmtId="0" xfId="0" applyBorder="1" applyFont="1"/>
    <xf borderId="5" fillId="4" fontId="2" numFmtId="0" xfId="0" applyAlignment="1" applyBorder="1" applyFill="1" applyFont="1">
      <alignment shrinkToFit="0" vertical="top" wrapText="1"/>
    </xf>
    <xf borderId="6" fillId="0" fontId="6" numFmtId="0" xfId="0" applyBorder="1" applyFont="1"/>
    <xf borderId="7" fillId="0" fontId="6" numFmtId="0" xfId="0" applyBorder="1" applyFont="1"/>
    <xf borderId="1" fillId="0" fontId="2" numFmtId="0" xfId="0" applyAlignment="1" applyBorder="1" applyFont="1">
      <alignment shrinkToFit="0" vertical="top" wrapText="1"/>
    </xf>
    <xf borderId="1" fillId="0" fontId="4" numFmtId="0" xfId="0" applyAlignment="1" applyBorder="1" applyFont="1">
      <alignment shrinkToFit="0" vertical="top" wrapText="1"/>
    </xf>
    <xf borderId="8" fillId="0" fontId="6" numFmtId="0" xfId="0" applyBorder="1" applyFont="1"/>
    <xf borderId="1" fillId="2" fontId="4" numFmtId="0" xfId="0" applyAlignment="1" applyBorder="1" applyFill="1" applyFont="1">
      <alignment shrinkToFit="0" vertical="bottom" wrapText="0"/>
    </xf>
    <xf borderId="1" fillId="0" fontId="2" numFmtId="0" xfId="0" applyAlignment="1" applyBorder="1" applyFont="1">
      <alignment shrinkToFit="0" vertical="bottom" wrapText="0"/>
    </xf>
    <xf borderId="1" fillId="0" fontId="2" numFmtId="164" xfId="0" applyAlignment="1" applyBorder="1" applyFont="1" applyNumberFormat="1">
      <alignment shrinkToFit="0" vertical="bottom" wrapText="0"/>
    </xf>
    <xf borderId="1" fillId="0" fontId="4" numFmtId="0" xfId="0" applyAlignment="1" applyBorder="1" applyFont="1">
      <alignment horizontal="center" shrinkToFit="0" vertical="top" wrapText="0"/>
    </xf>
    <xf borderId="1" fillId="0" fontId="4" numFmtId="164" xfId="0" applyAlignment="1" applyBorder="1" applyFont="1" applyNumberFormat="1">
      <alignment horizontal="center" shrinkToFit="0" vertical="top" wrapText="0"/>
    </xf>
    <xf borderId="2" fillId="3" fontId="5" numFmtId="0" xfId="0" applyAlignment="1" applyBorder="1" applyFill="1" applyFont="1">
      <alignment horizontal="center" shrinkToFit="0" vertical="top" wrapText="1"/>
    </xf>
    <xf borderId="0" fillId="0" fontId="4" numFmtId="0" xfId="0" applyAlignment="1" applyFont="1">
      <alignment shrinkToFit="0" vertical="bottom" wrapText="0"/>
    </xf>
    <xf borderId="0" fillId="0" fontId="4" numFmtId="164" xfId="0" applyAlignment="1" applyFont="1" applyNumberFormat="1">
      <alignment shrinkToFit="0" vertical="bottom" wrapText="0"/>
    </xf>
    <xf borderId="0" fillId="0" fontId="7" numFmtId="0" xfId="0" applyAlignment="1" applyFont="1">
      <alignment shrinkToFit="0" vertical="bottom" wrapText="0"/>
    </xf>
    <xf borderId="0" fillId="0" fontId="4" numFmtId="2"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90.0"/>
    <col customWidth="1" min="3" max="26" width="8.71"/>
  </cols>
  <sheetData>
    <row r="1" ht="22.5" customHeight="1">
      <c r="A1" s="1" t="s">
        <v>0</v>
      </c>
    </row>
    <row r="2" ht="45.0" customHeight="1">
      <c r="A2" s="3" t="s">
        <v>6</v>
      </c>
    </row>
    <row r="3" ht="15.0" customHeight="1"/>
    <row r="4" ht="17.25" customHeight="1">
      <c r="A4" s="2" t="s">
        <v>9</v>
      </c>
    </row>
    <row r="5" ht="31.5" customHeight="1">
      <c r="A5" s="2" t="s">
        <v>11</v>
      </c>
      <c r="B5" s="4" t="s">
        <v>14</v>
      </c>
    </row>
    <row r="6" ht="31.5" customHeight="1">
      <c r="A6" s="2" t="s">
        <v>16</v>
      </c>
      <c r="B6" s="4" t="s">
        <v>17</v>
      </c>
    </row>
    <row r="7" ht="31.5" customHeight="1">
      <c r="A7" s="2" t="s">
        <v>19</v>
      </c>
      <c r="B7" s="4" t="s">
        <v>20</v>
      </c>
    </row>
    <row r="8" ht="31.5" customHeight="1">
      <c r="A8" s="2" t="s">
        <v>22</v>
      </c>
      <c r="B8" s="4" t="s">
        <v>23</v>
      </c>
    </row>
    <row r="9" ht="44.25" customHeight="1">
      <c r="A9" s="2" t="s">
        <v>25</v>
      </c>
      <c r="B9" s="4" t="s">
        <v>26</v>
      </c>
    </row>
    <row r="10" ht="17.25" customHeight="1">
      <c r="A10" s="2" t="s">
        <v>28</v>
      </c>
    </row>
    <row r="11" ht="18.0" customHeight="1">
      <c r="A11" s="7" t="s">
        <v>35</v>
      </c>
      <c r="B11" s="4" t="s">
        <v>37</v>
      </c>
    </row>
    <row r="12" ht="18.0" customHeight="1">
      <c r="A12" s="2" t="s">
        <v>39</v>
      </c>
      <c r="B12" s="4" t="s">
        <v>41</v>
      </c>
    </row>
    <row r="13" ht="17.25" customHeight="1">
      <c r="A13" s="2" t="s">
        <v>42</v>
      </c>
    </row>
    <row r="14" ht="31.5" customHeight="1">
      <c r="A14" s="4" t="s">
        <v>44</v>
      </c>
      <c r="B14" s="4" t="s">
        <v>46</v>
      </c>
    </row>
    <row r="15" ht="31.5" customHeight="1">
      <c r="A15" s="4" t="s">
        <v>47</v>
      </c>
      <c r="B15" s="4" t="s">
        <v>48</v>
      </c>
    </row>
    <row r="16" ht="31.5" customHeight="1">
      <c r="A16" s="4" t="s">
        <v>49</v>
      </c>
      <c r="B16" s="4" t="s">
        <v>50</v>
      </c>
    </row>
    <row r="17" ht="31.5" customHeight="1">
      <c r="A17" s="4" t="s">
        <v>52</v>
      </c>
      <c r="B17" s="4" t="s">
        <v>54</v>
      </c>
    </row>
    <row r="18" ht="31.5" customHeight="1">
      <c r="A18" s="4" t="s">
        <v>55</v>
      </c>
      <c r="B18" s="4" t="s">
        <v>56</v>
      </c>
    </row>
    <row r="19" ht="44.25" customHeight="1">
      <c r="A19" s="2" t="s">
        <v>57</v>
      </c>
      <c r="B19" s="4"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0"/>
    <col customWidth="1" min="2" max="6" width="18.0"/>
    <col customWidth="1" min="7" max="26" width="8.71"/>
  </cols>
  <sheetData>
    <row r="1" ht="22.5" customHeight="1">
      <c r="A1" s="1" t="s">
        <v>1</v>
      </c>
    </row>
    <row r="2" ht="15.0" customHeight="1"/>
    <row r="3" ht="17.25" customHeight="1">
      <c r="A3" s="2" t="s">
        <v>4</v>
      </c>
    </row>
    <row r="4" ht="75.0" customHeight="1">
      <c r="A4" s="4" t="s">
        <v>8</v>
      </c>
    </row>
    <row r="5" ht="15.0" customHeight="1"/>
    <row r="6" ht="30.75" customHeight="1">
      <c r="A6" s="2" t="s">
        <v>12</v>
      </c>
    </row>
    <row r="7" ht="33.0" customHeight="1">
      <c r="A7" s="4" t="s">
        <v>13</v>
      </c>
    </row>
    <row r="8" ht="48.0" customHeight="1">
      <c r="A8" s="4" t="s">
        <v>15</v>
      </c>
    </row>
    <row r="9" ht="33.0" customHeight="1">
      <c r="A9" s="4" t="s">
        <v>18</v>
      </c>
    </row>
    <row r="10" ht="48.0" customHeight="1">
      <c r="A10" s="4" t="s">
        <v>21</v>
      </c>
    </row>
    <row r="11" ht="48.0" customHeight="1">
      <c r="A11" s="4" t="s">
        <v>24</v>
      </c>
    </row>
    <row r="12" ht="48.0" customHeight="1">
      <c r="A12" s="4" t="s">
        <v>27</v>
      </c>
    </row>
    <row r="13" ht="33.0" customHeight="1">
      <c r="A13" s="4" t="s">
        <v>29</v>
      </c>
    </row>
    <row r="14" ht="15.0" customHeight="1"/>
    <row r="15" ht="17.25" customHeight="1">
      <c r="A15" s="2" t="s">
        <v>30</v>
      </c>
    </row>
    <row r="16" ht="30.75" customHeight="1">
      <c r="A16" s="4" t="s">
        <v>32</v>
      </c>
      <c r="B16" s="8"/>
      <c r="C16" s="10"/>
      <c r="D16" s="10"/>
      <c r="E16" s="10"/>
      <c r="F16" s="9"/>
    </row>
    <row r="17" ht="17.25" customHeight="1">
      <c r="A17" s="4" t="s">
        <v>10</v>
      </c>
      <c r="B17" s="8"/>
      <c r="C17" s="10"/>
      <c r="D17" s="10"/>
      <c r="E17" s="10"/>
      <c r="F17" s="9"/>
    </row>
    <row r="18" ht="17.25" customHeight="1">
      <c r="A18" s="4" t="s">
        <v>53</v>
      </c>
      <c r="B18" s="8"/>
      <c r="C18" s="10"/>
      <c r="D18" s="10"/>
      <c r="E18" s="10"/>
      <c r="F18" s="9"/>
    </row>
    <row r="19" ht="17.25" customHeight="1">
      <c r="A19" s="4" t="s">
        <v>65</v>
      </c>
      <c r="B19" s="8"/>
      <c r="C19" s="10"/>
      <c r="D19" s="10"/>
      <c r="E19" s="10"/>
      <c r="F19" s="9"/>
    </row>
    <row r="20" ht="30.75" customHeight="1">
      <c r="A20" s="4" t="s">
        <v>71</v>
      </c>
      <c r="B20" s="8"/>
      <c r="C20" s="10"/>
      <c r="D20" s="10"/>
      <c r="E20" s="10"/>
      <c r="F20" s="9"/>
    </row>
    <row r="21" ht="15.0" customHeight="1"/>
    <row r="22" ht="17.25" customHeight="1">
      <c r="A22" s="3" t="s">
        <v>76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2:F12"/>
    <mergeCell ref="A13:F13"/>
    <mergeCell ref="B16:F16"/>
    <mergeCell ref="B17:F17"/>
    <mergeCell ref="B18:F18"/>
    <mergeCell ref="B19:F19"/>
    <mergeCell ref="B20:F20"/>
    <mergeCell ref="A22:F22"/>
    <mergeCell ref="A1:F1"/>
    <mergeCell ref="A4:F4"/>
    <mergeCell ref="A7:F7"/>
    <mergeCell ref="A8:F8"/>
    <mergeCell ref="A9:F9"/>
    <mergeCell ref="A10:F10"/>
    <mergeCell ref="A11:F11"/>
  </mergeCells>
  <dataValidations>
    <dataValidation type="list" allowBlank="1" sqref="B18">
      <formula1>"Governança e conformidade,Segurança da informação,Desenvolvimento ou operação de IA,Jurídico e regulatório,Pesquisa acadêmica"</formula1>
    </dataValidation>
    <dataValidation type="list" allowBlank="1" sqref="B16">
      <formula1>"Aceito participar,Não aceito"</formula1>
    </dataValidation>
    <dataValidation type="decimal" operator="greaterThanOrEqual" allowBlank="1" sqref="B19">
      <formula1>0.0</formula1>
    </dataValidation>
  </dataValidations>
  <printOptions/>
  <pageMargins bottom="1.0" footer="0.0" header="0.0" left="0.75" right="0.75" top="1.0"/>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4.86"/>
    <col customWidth="1" min="2" max="2" width="70.0"/>
    <col customWidth="1" min="3" max="3" width="22.0"/>
    <col customWidth="1" min="4" max="4" width="45.0"/>
    <col customWidth="1" min="5" max="5" width="1.0"/>
    <col customWidth="1" min="6" max="26" width="8.71"/>
  </cols>
  <sheetData>
    <row r="1" ht="22.5" customHeight="1">
      <c r="A1" s="1" t="s">
        <v>2</v>
      </c>
    </row>
    <row r="2" ht="45.0" customHeight="1">
      <c r="A2" s="4" t="s">
        <v>5</v>
      </c>
    </row>
    <row r="3" ht="15.0" customHeight="1"/>
    <row r="4" ht="30.75" customHeight="1">
      <c r="A4" s="2" t="s">
        <v>10</v>
      </c>
      <c r="B4" s="5"/>
    </row>
    <row r="5" ht="15.0" customHeight="1"/>
    <row r="6" ht="18.75" customHeight="1">
      <c r="A6" s="6" t="s">
        <v>33</v>
      </c>
      <c r="B6" s="6" t="s">
        <v>36</v>
      </c>
      <c r="C6" s="6" t="s">
        <v>38</v>
      </c>
      <c r="D6" s="6" t="s">
        <v>40</v>
      </c>
    </row>
    <row r="7" ht="17.25" customHeight="1">
      <c r="A7" s="11" t="s">
        <v>45</v>
      </c>
      <c r="B7" s="12"/>
      <c r="C7" s="12"/>
      <c r="D7" s="13"/>
    </row>
    <row r="8" ht="45.0" customHeight="1">
      <c r="A8" s="14" t="s">
        <v>59</v>
      </c>
      <c r="B8" s="15" t="s">
        <v>60</v>
      </c>
      <c r="C8" s="5"/>
      <c r="D8" s="5"/>
    </row>
    <row r="9" ht="30.75" customHeight="1">
      <c r="A9" s="14" t="s">
        <v>61</v>
      </c>
      <c r="B9" s="15" t="s">
        <v>62</v>
      </c>
      <c r="C9" s="5"/>
      <c r="D9" s="5"/>
    </row>
    <row r="10" ht="45.0" customHeight="1">
      <c r="A10" s="14" t="s">
        <v>63</v>
      </c>
      <c r="B10" s="15" t="s">
        <v>64</v>
      </c>
      <c r="C10" s="5"/>
      <c r="D10" s="5"/>
    </row>
    <row r="11" ht="45.0" customHeight="1">
      <c r="A11" s="14" t="s">
        <v>66</v>
      </c>
      <c r="B11" s="15" t="s">
        <v>67</v>
      </c>
      <c r="C11" s="5"/>
      <c r="D11" s="5"/>
    </row>
    <row r="12" ht="30.75" customHeight="1">
      <c r="A12" s="14" t="s">
        <v>68</v>
      </c>
      <c r="B12" s="15" t="s">
        <v>69</v>
      </c>
      <c r="C12" s="5"/>
      <c r="D12" s="5"/>
    </row>
    <row r="13" ht="17.25" customHeight="1">
      <c r="A13" s="11" t="s">
        <v>70</v>
      </c>
      <c r="B13" s="12"/>
      <c r="C13" s="12"/>
      <c r="D13" s="13"/>
    </row>
    <row r="14" ht="45.0" customHeight="1">
      <c r="A14" s="14" t="s">
        <v>72</v>
      </c>
      <c r="B14" s="15" t="s">
        <v>73</v>
      </c>
      <c r="C14" s="5"/>
      <c r="D14" s="5"/>
    </row>
    <row r="15" ht="45.0" customHeight="1">
      <c r="A15" s="14" t="s">
        <v>74</v>
      </c>
      <c r="B15" s="15" t="s">
        <v>75</v>
      </c>
      <c r="C15" s="5"/>
      <c r="D15" s="5"/>
    </row>
    <row r="16" ht="30.75" customHeight="1">
      <c r="A16" s="14" t="s">
        <v>77</v>
      </c>
      <c r="B16" s="15" t="s">
        <v>78</v>
      </c>
      <c r="C16" s="5"/>
      <c r="D16" s="5"/>
    </row>
    <row r="17" ht="17.25" customHeight="1">
      <c r="A17" s="11" t="s">
        <v>79</v>
      </c>
      <c r="B17" s="12"/>
      <c r="C17" s="12"/>
      <c r="D17" s="13"/>
    </row>
    <row r="18" ht="75.0" customHeight="1">
      <c r="A18" s="14" t="s">
        <v>80</v>
      </c>
      <c r="B18" s="15" t="s">
        <v>81</v>
      </c>
      <c r="C18" s="5"/>
      <c r="D18" s="5"/>
    </row>
    <row r="19" ht="30.75" customHeight="1">
      <c r="A19" s="14" t="s">
        <v>82</v>
      </c>
      <c r="B19" s="15" t="s">
        <v>83</v>
      </c>
      <c r="C19" s="5"/>
      <c r="D19" s="5"/>
    </row>
    <row r="20" ht="30.75" customHeight="1">
      <c r="A20" s="14" t="s">
        <v>84</v>
      </c>
      <c r="B20" s="15" t="s">
        <v>85</v>
      </c>
      <c r="C20" s="5"/>
      <c r="D20" s="5"/>
    </row>
    <row r="21" ht="45.0" customHeight="1">
      <c r="A21" s="14" t="s">
        <v>86</v>
      </c>
      <c r="B21" s="15" t="s">
        <v>87</v>
      </c>
      <c r="C21" s="5"/>
      <c r="D21" s="5"/>
    </row>
    <row r="22" ht="30.75" customHeight="1">
      <c r="A22" s="14" t="s">
        <v>88</v>
      </c>
      <c r="B22" s="15" t="s">
        <v>89</v>
      </c>
      <c r="C22" s="5"/>
      <c r="D22" s="5"/>
    </row>
    <row r="23" ht="30.75" customHeight="1">
      <c r="A23" s="14" t="s">
        <v>90</v>
      </c>
      <c r="B23" s="15" t="s">
        <v>91</v>
      </c>
      <c r="C23" s="5"/>
      <c r="D23" s="5"/>
    </row>
    <row r="24" ht="45.0" customHeight="1">
      <c r="A24" s="14" t="s">
        <v>92</v>
      </c>
      <c r="B24" s="15" t="s">
        <v>93</v>
      </c>
      <c r="C24" s="5"/>
      <c r="D24" s="5"/>
    </row>
    <row r="25" ht="45.0" customHeight="1">
      <c r="A25" s="14" t="s">
        <v>94</v>
      </c>
      <c r="B25" s="15" t="s">
        <v>95</v>
      </c>
      <c r="C25" s="5"/>
      <c r="D25" s="5"/>
    </row>
    <row r="26" ht="60.0" customHeight="1">
      <c r="A26" s="14" t="s">
        <v>96</v>
      </c>
      <c r="B26" s="15" t="s">
        <v>97</v>
      </c>
      <c r="C26" s="5"/>
      <c r="D26" s="5"/>
    </row>
    <row r="27" ht="45.0" customHeight="1">
      <c r="A27" s="14" t="s">
        <v>98</v>
      </c>
      <c r="B27" s="15" t="s">
        <v>99</v>
      </c>
      <c r="C27" s="5"/>
      <c r="D27" s="5"/>
    </row>
    <row r="28" ht="17.25" customHeight="1">
      <c r="A28" s="11" t="s">
        <v>100</v>
      </c>
      <c r="B28" s="12"/>
      <c r="C28" s="12"/>
      <c r="D28" s="13"/>
    </row>
    <row r="29" ht="45.0" customHeight="1">
      <c r="A29" s="14" t="s">
        <v>101</v>
      </c>
      <c r="B29" s="15" t="s">
        <v>102</v>
      </c>
      <c r="C29" s="5"/>
      <c r="D29" s="5"/>
    </row>
    <row r="30" ht="60.0" customHeight="1">
      <c r="A30" s="14" t="s">
        <v>103</v>
      </c>
      <c r="B30" s="15" t="s">
        <v>104</v>
      </c>
      <c r="C30" s="5"/>
      <c r="D30" s="5"/>
    </row>
    <row r="31" ht="45.0" customHeight="1">
      <c r="A31" s="14" t="s">
        <v>105</v>
      </c>
      <c r="B31" s="15" t="s">
        <v>106</v>
      </c>
      <c r="C31" s="5"/>
      <c r="D31" s="5"/>
    </row>
    <row r="32" ht="15.0" customHeight="1"/>
    <row r="33" ht="17.25" customHeight="1">
      <c r="A33" s="2" t="s">
        <v>107</v>
      </c>
    </row>
    <row r="34" ht="31.5" customHeight="1">
      <c r="A34" s="4" t="s">
        <v>116</v>
      </c>
    </row>
    <row r="35" ht="18.75" customHeight="1">
      <c r="A35" s="6" t="s">
        <v>109</v>
      </c>
      <c r="B35" s="6" t="s">
        <v>117</v>
      </c>
      <c r="C35" s="6" t="s">
        <v>118</v>
      </c>
      <c r="D35" s="6" t="s">
        <v>119</v>
      </c>
    </row>
    <row r="36" ht="17.25" customHeight="1">
      <c r="A36" s="14" t="s">
        <v>112</v>
      </c>
      <c r="B36" s="15" t="s">
        <v>120</v>
      </c>
      <c r="C36" s="5"/>
      <c r="D36" s="5"/>
    </row>
    <row r="37" ht="30.75" customHeight="1">
      <c r="A37" s="14" t="s">
        <v>113</v>
      </c>
      <c r="B37" s="15" t="s">
        <v>121</v>
      </c>
      <c r="C37" s="5"/>
      <c r="D37" s="5"/>
    </row>
    <row r="38" ht="17.25" customHeight="1">
      <c r="A38" s="14" t="s">
        <v>114</v>
      </c>
      <c r="B38" s="15" t="s">
        <v>122</v>
      </c>
      <c r="C38" s="5"/>
      <c r="D38" s="5"/>
    </row>
    <row r="39" ht="15.0" customHeight="1"/>
    <row r="40" ht="17.25" customHeight="1">
      <c r="A40" s="2" t="s">
        <v>123</v>
      </c>
    </row>
    <row r="41" ht="17.25" customHeight="1">
      <c r="A41" s="4" t="s">
        <v>124</v>
      </c>
    </row>
    <row r="42" ht="60.0" customHeight="1">
      <c r="A42" s="8"/>
      <c r="B42" s="10"/>
      <c r="C42" s="10"/>
      <c r="D42" s="16"/>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4:D34"/>
    <mergeCell ref="A40:D40"/>
    <mergeCell ref="A41:D41"/>
    <mergeCell ref="A42:D42"/>
    <mergeCell ref="A1:D1"/>
    <mergeCell ref="A2:D2"/>
    <mergeCell ref="A7:D7"/>
    <mergeCell ref="A13:D13"/>
    <mergeCell ref="A17:D17"/>
    <mergeCell ref="A28:D28"/>
    <mergeCell ref="A33:D33"/>
  </mergeCells>
  <dataValidations>
    <dataValidation type="list" allowBlank="1" sqref="C8:C12 C14:C16 C18:C27 C29:C31">
      <formula1>"Clara,Precisa de ajuste"</formula1>
    </dataValidation>
    <dataValidation type="decimal" operator="greaterThan" allowBlank="1" showInputMessage="1" showErrorMessage="1" prompt="Informe um número inteiro de dias, maior que zero." sqref="C36:C38">
      <formula1>0.0</formula1>
    </dataValidation>
  </dataValidations>
  <printOptions/>
  <pageMargins bottom="1.0" footer="0.0" header="0.0" left="0.75" right="0.75" top="1.0"/>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3.43"/>
    <col customWidth="1" min="2" max="2" width="70.0"/>
    <col customWidth="1" min="3" max="3" width="26.0"/>
    <col customWidth="1" min="4" max="4" width="16.0"/>
    <col customWidth="1" min="5" max="5" width="30.0"/>
    <col customWidth="1" min="6" max="26" width="8.71"/>
  </cols>
  <sheetData>
    <row r="1" ht="22.5" customHeight="1">
      <c r="A1" s="1" t="s">
        <v>3</v>
      </c>
    </row>
    <row r="2" ht="31.5" customHeight="1">
      <c r="A2" s="4" t="s">
        <v>7</v>
      </c>
    </row>
    <row r="3" ht="15.0" customHeight="1"/>
    <row r="4" ht="30.75" customHeight="1">
      <c r="A4" s="2" t="s">
        <v>10</v>
      </c>
      <c r="B4" s="5"/>
    </row>
    <row r="5" ht="15.0" customHeight="1"/>
    <row r="6" ht="17.25" customHeight="1">
      <c r="A6" s="2" t="s">
        <v>31</v>
      </c>
    </row>
    <row r="7" ht="30.0" customHeight="1">
      <c r="A7" s="4" t="s">
        <v>34</v>
      </c>
      <c r="C7" s="8"/>
      <c r="D7" s="9"/>
    </row>
    <row r="8" ht="30.0" customHeight="1">
      <c r="A8" s="4" t="s">
        <v>43</v>
      </c>
      <c r="C8" s="8"/>
      <c r="D8" s="9"/>
    </row>
    <row r="9" ht="15.0" customHeight="1"/>
    <row r="10" ht="18.75" customHeight="1">
      <c r="A10" s="6" t="s">
        <v>33</v>
      </c>
      <c r="B10" s="6" t="s">
        <v>36</v>
      </c>
      <c r="C10" s="6" t="s">
        <v>51</v>
      </c>
    </row>
    <row r="11" ht="17.25" customHeight="1">
      <c r="A11" s="11" t="s">
        <v>45</v>
      </c>
      <c r="B11" s="12"/>
      <c r="C11" s="13"/>
    </row>
    <row r="12" ht="45.0" customHeight="1">
      <c r="A12" s="14" t="s">
        <v>59</v>
      </c>
      <c r="B12" s="15" t="s">
        <v>60</v>
      </c>
      <c r="C12" s="5"/>
    </row>
    <row r="13" ht="30.75" customHeight="1">
      <c r="A13" s="14" t="s">
        <v>61</v>
      </c>
      <c r="B13" s="15" t="s">
        <v>62</v>
      </c>
      <c r="C13" s="5"/>
    </row>
    <row r="14" ht="45.0" customHeight="1">
      <c r="A14" s="14" t="s">
        <v>63</v>
      </c>
      <c r="B14" s="15" t="s">
        <v>64</v>
      </c>
      <c r="C14" s="5"/>
    </row>
    <row r="15" ht="45.0" customHeight="1">
      <c r="A15" s="14" t="s">
        <v>66</v>
      </c>
      <c r="B15" s="15" t="s">
        <v>67</v>
      </c>
      <c r="C15" s="5"/>
    </row>
    <row r="16" ht="30.75" customHeight="1">
      <c r="A16" s="14" t="s">
        <v>68</v>
      </c>
      <c r="B16" s="15" t="s">
        <v>69</v>
      </c>
      <c r="C16" s="5"/>
    </row>
    <row r="17" ht="17.25" customHeight="1">
      <c r="A17" s="11" t="s">
        <v>70</v>
      </c>
      <c r="B17" s="12"/>
      <c r="C17" s="13"/>
    </row>
    <row r="18" ht="45.0" customHeight="1">
      <c r="A18" s="14" t="s">
        <v>72</v>
      </c>
      <c r="B18" s="15" t="s">
        <v>73</v>
      </c>
      <c r="C18" s="5"/>
    </row>
    <row r="19" ht="45.0" customHeight="1">
      <c r="A19" s="14" t="s">
        <v>74</v>
      </c>
      <c r="B19" s="15" t="s">
        <v>75</v>
      </c>
      <c r="C19" s="5"/>
    </row>
    <row r="20" ht="30.75" customHeight="1">
      <c r="A20" s="14" t="s">
        <v>77</v>
      </c>
      <c r="B20" s="15" t="s">
        <v>78</v>
      </c>
      <c r="C20" s="5"/>
    </row>
    <row r="21" ht="17.25" customHeight="1">
      <c r="A21" s="11" t="s">
        <v>79</v>
      </c>
      <c r="B21" s="12"/>
      <c r="C21" s="13"/>
    </row>
    <row r="22" ht="75.0" customHeight="1">
      <c r="A22" s="14" t="s">
        <v>80</v>
      </c>
      <c r="B22" s="15" t="s">
        <v>81</v>
      </c>
      <c r="C22" s="5"/>
    </row>
    <row r="23" ht="30.75" customHeight="1">
      <c r="A23" s="14" t="s">
        <v>82</v>
      </c>
      <c r="B23" s="15" t="s">
        <v>83</v>
      </c>
      <c r="C23" s="5"/>
    </row>
    <row r="24" ht="30.75" customHeight="1">
      <c r="A24" s="14" t="s">
        <v>84</v>
      </c>
      <c r="B24" s="15" t="s">
        <v>85</v>
      </c>
      <c r="C24" s="5"/>
    </row>
    <row r="25" ht="45.0" customHeight="1">
      <c r="A25" s="14" t="s">
        <v>86</v>
      </c>
      <c r="B25" s="15" t="s">
        <v>87</v>
      </c>
      <c r="C25" s="5"/>
    </row>
    <row r="26" ht="30.75" customHeight="1">
      <c r="A26" s="14" t="s">
        <v>88</v>
      </c>
      <c r="B26" s="15" t="s">
        <v>89</v>
      </c>
      <c r="C26" s="5"/>
    </row>
    <row r="27" ht="30.75" customHeight="1">
      <c r="A27" s="14" t="s">
        <v>90</v>
      </c>
      <c r="B27" s="15" t="s">
        <v>91</v>
      </c>
      <c r="C27" s="5"/>
    </row>
    <row r="28" ht="45.0" customHeight="1">
      <c r="A28" s="14" t="s">
        <v>92</v>
      </c>
      <c r="B28" s="15" t="s">
        <v>93</v>
      </c>
      <c r="C28" s="5"/>
    </row>
    <row r="29" ht="45.0" customHeight="1">
      <c r="A29" s="14" t="s">
        <v>94</v>
      </c>
      <c r="B29" s="15" t="s">
        <v>95</v>
      </c>
      <c r="C29" s="5"/>
    </row>
    <row r="30" ht="60.0" customHeight="1">
      <c r="A30" s="14" t="s">
        <v>96</v>
      </c>
      <c r="B30" s="15" t="s">
        <v>97</v>
      </c>
      <c r="C30" s="5"/>
    </row>
    <row r="31" ht="45.0" customHeight="1">
      <c r="A31" s="14" t="s">
        <v>98</v>
      </c>
      <c r="B31" s="15" t="s">
        <v>99</v>
      </c>
      <c r="C31" s="5"/>
    </row>
    <row r="32" ht="17.25" customHeight="1">
      <c r="A32" s="11" t="s">
        <v>100</v>
      </c>
      <c r="B32" s="12"/>
      <c r="C32" s="13"/>
    </row>
    <row r="33" ht="45.0" customHeight="1">
      <c r="A33" s="14" t="s">
        <v>101</v>
      </c>
      <c r="B33" s="15" t="s">
        <v>102</v>
      </c>
      <c r="C33" s="5"/>
    </row>
    <row r="34" ht="60.0" customHeight="1">
      <c r="A34" s="14" t="s">
        <v>103</v>
      </c>
      <c r="B34" s="15" t="s">
        <v>104</v>
      </c>
      <c r="C34" s="5"/>
    </row>
    <row r="35" ht="45.0" customHeight="1">
      <c r="A35" s="14" t="s">
        <v>105</v>
      </c>
      <c r="B35" s="15" t="s">
        <v>106</v>
      </c>
      <c r="C35" s="5"/>
    </row>
    <row r="36" ht="15.0" customHeight="1"/>
    <row r="37" ht="17.25" customHeight="1">
      <c r="A37" s="2" t="s">
        <v>107</v>
      </c>
    </row>
    <row r="38" ht="31.5" customHeight="1">
      <c r="A38" s="4" t="s">
        <v>108</v>
      </c>
    </row>
    <row r="39" ht="18.75" customHeight="1">
      <c r="A39" s="6" t="s">
        <v>109</v>
      </c>
      <c r="B39" s="6" t="s">
        <v>110</v>
      </c>
      <c r="C39" s="6" t="s">
        <v>111</v>
      </c>
    </row>
    <row r="40" ht="17.25" customHeight="1">
      <c r="A40" s="14" t="s">
        <v>112</v>
      </c>
      <c r="B40" s="5"/>
      <c r="C40" s="5"/>
    </row>
    <row r="41" ht="30.75" customHeight="1">
      <c r="A41" s="14" t="s">
        <v>113</v>
      </c>
      <c r="B41" s="5"/>
      <c r="C41" s="5"/>
    </row>
    <row r="42" ht="34.5" customHeight="1">
      <c r="A42" s="14" t="s">
        <v>114</v>
      </c>
      <c r="B42" s="5"/>
      <c r="C42" s="5"/>
    </row>
    <row r="43" ht="15.0" customHeight="1"/>
    <row r="44" ht="17.25" customHeight="1">
      <c r="A44" s="2" t="s">
        <v>115</v>
      </c>
    </row>
    <row r="45" ht="60.0" customHeight="1">
      <c r="A45" s="8"/>
      <c r="B45" s="10"/>
      <c r="C45" s="10"/>
      <c r="D45" s="1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1:C11"/>
    <mergeCell ref="A17:C17"/>
    <mergeCell ref="A21:C21"/>
    <mergeCell ref="A32:C32"/>
    <mergeCell ref="A37:D37"/>
    <mergeCell ref="A38:D38"/>
    <mergeCell ref="A44:D44"/>
    <mergeCell ref="A45:D45"/>
    <mergeCell ref="A1:D1"/>
    <mergeCell ref="A2:D2"/>
    <mergeCell ref="A6:D6"/>
    <mergeCell ref="A7:B7"/>
    <mergeCell ref="C7:D7"/>
    <mergeCell ref="A8:B8"/>
    <mergeCell ref="C8:D8"/>
  </mergeCells>
  <dataValidations>
    <dataValidation type="list" allowBlank="1" sqref="C12:C16 C18:C20 C22:C31 C33:C35">
      <formula1>"Essencial,Útil,mas não essencial,Desnecessário"</formula1>
    </dataValidation>
    <dataValidation type="decimal" operator="greaterThan" allowBlank="1" showInputMessage="1" showErrorMessage="1" prompt="Informe um número inteiro de dias, maior que zero." sqref="C40:C42">
      <formula1>0.0</formula1>
    </dataValidation>
  </dataValidations>
  <printOptions/>
  <pageMargins bottom="1.0" footer="0.0" header="0.0" left="0.75" right="0.75" top="1.0"/>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86"/>
    <col customWidth="1" min="2" max="25" width="13.0"/>
    <col customWidth="1" min="26" max="26" width="8.71"/>
  </cols>
  <sheetData>
    <row r="1">
      <c r="A1" s="6" t="s">
        <v>125</v>
      </c>
      <c r="B1" s="6" t="s">
        <v>126</v>
      </c>
      <c r="C1" s="6" t="s">
        <v>127</v>
      </c>
      <c r="D1" s="6" t="s">
        <v>128</v>
      </c>
      <c r="E1" s="6" t="s">
        <v>129</v>
      </c>
      <c r="F1" s="6" t="s">
        <v>130</v>
      </c>
      <c r="G1" s="6" t="s">
        <v>131</v>
      </c>
      <c r="H1" s="6" t="s">
        <v>132</v>
      </c>
      <c r="I1" s="6" t="s">
        <v>133</v>
      </c>
      <c r="J1" s="6" t="s">
        <v>134</v>
      </c>
      <c r="K1" s="6" t="s">
        <v>135</v>
      </c>
      <c r="L1" s="6" t="s">
        <v>136</v>
      </c>
      <c r="M1" s="6" t="s">
        <v>137</v>
      </c>
      <c r="N1" s="6" t="s">
        <v>138</v>
      </c>
      <c r="O1" s="6" t="s">
        <v>139</v>
      </c>
      <c r="P1" s="6" t="s">
        <v>140</v>
      </c>
      <c r="Q1" s="6" t="s">
        <v>141</v>
      </c>
      <c r="R1" s="6" t="s">
        <v>142</v>
      </c>
      <c r="S1" s="6" t="s">
        <v>143</v>
      </c>
      <c r="T1" s="6" t="s">
        <v>144</v>
      </c>
      <c r="U1" s="6" t="s">
        <v>145</v>
      </c>
      <c r="V1" s="6" t="s">
        <v>146</v>
      </c>
      <c r="W1" s="6" t="s">
        <v>147</v>
      </c>
      <c r="X1" s="6" t="s">
        <v>148</v>
      </c>
      <c r="Y1" s="6" t="s">
        <v>149</v>
      </c>
    </row>
    <row r="2">
      <c r="A2" s="17"/>
      <c r="B2" s="17"/>
      <c r="C2" s="17"/>
      <c r="D2" s="17"/>
      <c r="E2" s="17"/>
      <c r="F2" s="17"/>
      <c r="G2" s="17"/>
      <c r="H2" s="17"/>
      <c r="I2" s="17"/>
      <c r="J2" s="17"/>
      <c r="K2" s="17"/>
      <c r="L2" s="17"/>
      <c r="M2" s="17"/>
      <c r="N2" s="17"/>
      <c r="O2" s="17"/>
      <c r="P2" s="17"/>
      <c r="Q2" s="17"/>
      <c r="R2" s="17"/>
      <c r="S2" s="17"/>
      <c r="T2" s="17"/>
      <c r="U2" s="17"/>
      <c r="V2" s="17"/>
      <c r="W2" s="17"/>
      <c r="X2" s="17"/>
      <c r="Y2" s="17"/>
    </row>
    <row r="3">
      <c r="A3" s="17"/>
      <c r="B3" s="17"/>
      <c r="C3" s="17"/>
      <c r="D3" s="17"/>
      <c r="E3" s="17"/>
      <c r="F3" s="17"/>
      <c r="G3" s="17"/>
      <c r="H3" s="17"/>
      <c r="I3" s="17"/>
      <c r="J3" s="17"/>
      <c r="K3" s="17"/>
      <c r="L3" s="17"/>
      <c r="M3" s="17"/>
      <c r="N3" s="17"/>
      <c r="O3" s="17"/>
      <c r="P3" s="17"/>
      <c r="Q3" s="17"/>
      <c r="R3" s="17"/>
      <c r="S3" s="17"/>
      <c r="T3" s="17"/>
      <c r="U3" s="17"/>
      <c r="V3" s="17"/>
      <c r="W3" s="17"/>
      <c r="X3" s="17"/>
      <c r="Y3" s="17"/>
    </row>
    <row r="4">
      <c r="A4" s="17"/>
      <c r="B4" s="17"/>
      <c r="C4" s="17"/>
      <c r="D4" s="17"/>
      <c r="E4" s="17"/>
      <c r="F4" s="17"/>
      <c r="G4" s="17"/>
      <c r="H4" s="17"/>
      <c r="I4" s="17"/>
      <c r="J4" s="17"/>
      <c r="K4" s="17"/>
      <c r="L4" s="17"/>
      <c r="M4" s="17"/>
      <c r="N4" s="17"/>
      <c r="O4" s="17"/>
      <c r="P4" s="17"/>
      <c r="Q4" s="17"/>
      <c r="R4" s="17"/>
      <c r="S4" s="17"/>
      <c r="T4" s="17"/>
      <c r="U4" s="17"/>
      <c r="V4" s="17"/>
      <c r="W4" s="17"/>
      <c r="X4" s="17"/>
      <c r="Y4" s="17"/>
    </row>
    <row r="5">
      <c r="A5" s="17"/>
      <c r="B5" s="17"/>
      <c r="C5" s="17"/>
      <c r="D5" s="17"/>
      <c r="E5" s="17"/>
      <c r="F5" s="17"/>
      <c r="G5" s="17"/>
      <c r="H5" s="17"/>
      <c r="I5" s="17"/>
      <c r="J5" s="17"/>
      <c r="K5" s="17"/>
      <c r="L5" s="17"/>
      <c r="M5" s="17"/>
      <c r="N5" s="17"/>
      <c r="O5" s="17"/>
      <c r="P5" s="17"/>
      <c r="Q5" s="17"/>
      <c r="R5" s="17"/>
      <c r="S5" s="17"/>
      <c r="T5" s="17"/>
      <c r="U5" s="17"/>
      <c r="V5" s="17"/>
      <c r="W5" s="17"/>
      <c r="X5" s="17"/>
      <c r="Y5" s="17"/>
    </row>
    <row r="6">
      <c r="A6" s="17"/>
      <c r="B6" s="17"/>
      <c r="C6" s="17"/>
      <c r="D6" s="17"/>
      <c r="E6" s="17"/>
      <c r="F6" s="17"/>
      <c r="G6" s="17"/>
      <c r="H6" s="17"/>
      <c r="I6" s="17"/>
      <c r="J6" s="17"/>
      <c r="K6" s="17"/>
      <c r="L6" s="17"/>
      <c r="M6" s="17"/>
      <c r="N6" s="17"/>
      <c r="O6" s="17"/>
      <c r="P6" s="17"/>
      <c r="Q6" s="17"/>
      <c r="R6" s="17"/>
      <c r="S6" s="17"/>
      <c r="T6" s="17"/>
      <c r="U6" s="17"/>
      <c r="V6" s="17"/>
      <c r="W6" s="17"/>
      <c r="X6" s="17"/>
      <c r="Y6" s="17"/>
    </row>
    <row r="7">
      <c r="A7" s="17"/>
      <c r="B7" s="17"/>
      <c r="C7" s="17"/>
      <c r="D7" s="17"/>
      <c r="E7" s="17"/>
      <c r="F7" s="17"/>
      <c r="G7" s="17"/>
      <c r="H7" s="17"/>
      <c r="I7" s="17"/>
      <c r="J7" s="17"/>
      <c r="K7" s="17"/>
      <c r="L7" s="17"/>
      <c r="M7" s="17"/>
      <c r="N7" s="17"/>
      <c r="O7" s="17"/>
      <c r="P7" s="17"/>
      <c r="Q7" s="17"/>
      <c r="R7" s="17"/>
      <c r="S7" s="17"/>
      <c r="T7" s="17"/>
      <c r="U7" s="17"/>
      <c r="V7" s="17"/>
      <c r="W7" s="17"/>
      <c r="X7" s="17"/>
      <c r="Y7" s="17"/>
    </row>
    <row r="8">
      <c r="A8" s="17"/>
      <c r="B8" s="17"/>
      <c r="C8" s="17"/>
      <c r="D8" s="17"/>
      <c r="E8" s="17"/>
      <c r="F8" s="17"/>
      <c r="G8" s="17"/>
      <c r="H8" s="17"/>
      <c r="I8" s="17"/>
      <c r="J8" s="17"/>
      <c r="K8" s="17"/>
      <c r="L8" s="17"/>
      <c r="M8" s="17"/>
      <c r="N8" s="17"/>
      <c r="O8" s="17"/>
      <c r="P8" s="17"/>
      <c r="Q8" s="17"/>
      <c r="R8" s="17"/>
      <c r="S8" s="17"/>
      <c r="T8" s="17"/>
      <c r="U8" s="17"/>
      <c r="V8" s="17"/>
      <c r="W8" s="17"/>
      <c r="X8" s="17"/>
      <c r="Y8" s="17"/>
    </row>
    <row r="9">
      <c r="A9" s="17"/>
      <c r="B9" s="17"/>
      <c r="C9" s="17"/>
      <c r="D9" s="17"/>
      <c r="E9" s="17"/>
      <c r="F9" s="17"/>
      <c r="G9" s="17"/>
      <c r="H9" s="17"/>
      <c r="I9" s="17"/>
      <c r="J9" s="17"/>
      <c r="K9" s="17"/>
      <c r="L9" s="17"/>
      <c r="M9" s="17"/>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2:V61">
      <formula1>"Essencial,Útil,mas não essencial,Desnecessário"</formula1>
    </dataValidation>
    <dataValidation type="decimal" operator="greaterThan" allowBlank="1" sqref="W2:Y61">
      <formula1>0.0</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2.0"/>
    <col customWidth="1" min="2" max="2" width="34.0"/>
    <col customWidth="1" min="3" max="3" width="12.43"/>
    <col customWidth="1" min="4" max="5" width="11.86"/>
    <col customWidth="1" min="6" max="6" width="18.0"/>
    <col customWidth="1" min="7" max="7" width="12.86"/>
    <col customWidth="1" min="8" max="8" width="10.0"/>
    <col customWidth="1" min="9" max="9" width="40.0"/>
    <col customWidth="1" min="10" max="26" width="8.71"/>
  </cols>
  <sheetData>
    <row r="1" ht="22.5" customHeight="1">
      <c r="A1" s="1" t="s">
        <v>150</v>
      </c>
    </row>
    <row r="2" ht="30.75" customHeight="1">
      <c r="A2" s="3" t="s">
        <v>151</v>
      </c>
    </row>
    <row r="3" ht="15.0" customHeight="1"/>
    <row r="4" ht="17.25" customHeight="1">
      <c r="A4" s="2" t="s">
        <v>152</v>
      </c>
      <c r="C4" s="18">
        <f>COUNTA('Consolidação'!$A$2:$A$61)</f>
        <v>0</v>
      </c>
    </row>
    <row r="5" ht="30.75" customHeight="1">
      <c r="A5" s="2" t="s">
        <v>153</v>
      </c>
      <c r="C5" s="18" t="str">
        <f>IF(AND($C$4&gt;=5,$C$4&lt;=60),CRITBINOM($C$4,0.5,0.95)+1,"-")</f>
        <v>-</v>
      </c>
      <c r="D5" s="3" t="s">
        <v>154</v>
      </c>
    </row>
    <row r="6" ht="17.25" customHeight="1">
      <c r="A6" s="2" t="s">
        <v>155</v>
      </c>
      <c r="C6" s="19" t="str">
        <f>IF(ISNUMBER($C$5),(2*$C$5-$C$4)/$C$4,"-")</f>
        <v>-</v>
      </c>
    </row>
    <row r="7" ht="15.0" customHeight="1"/>
    <row r="8" ht="18.75" customHeight="1">
      <c r="A8" s="6" t="s">
        <v>33</v>
      </c>
      <c r="B8" s="6" t="s">
        <v>156</v>
      </c>
      <c r="C8" s="6" t="s">
        <v>157</v>
      </c>
      <c r="D8" s="6" t="s">
        <v>158</v>
      </c>
      <c r="E8" s="6" t="s">
        <v>159</v>
      </c>
      <c r="F8" s="6" t="s">
        <v>160</v>
      </c>
      <c r="G8" s="6" t="s">
        <v>161</v>
      </c>
      <c r="H8" s="6" t="s">
        <v>162</v>
      </c>
      <c r="I8" s="6" t="s">
        <v>36</v>
      </c>
    </row>
    <row r="9" ht="57.75" customHeight="1">
      <c r="A9" s="14" t="s">
        <v>59</v>
      </c>
      <c r="B9" s="15" t="s">
        <v>45</v>
      </c>
      <c r="C9" s="15" t="s">
        <v>163</v>
      </c>
      <c r="D9" s="20">
        <f>COUNTIF('Consolidação'!$B$2:$B$61,"Essencial")</f>
        <v>0</v>
      </c>
      <c r="E9" s="20">
        <f>COUNTIF('Consolidação'!$B$2:$B$61,"Útil, mas não essencial")</f>
        <v>0</v>
      </c>
      <c r="F9" s="20">
        <f>COUNTIF('Consolidação'!$B$2:$B$61,"Desnecessário")</f>
        <v>0</v>
      </c>
      <c r="G9" s="21" t="str">
        <f t="shared" ref="G9:G29" si="1">IF(ISNUMBER($C$5),(D9-$C$4/2)/($C$4/2),"-")</f>
        <v>-</v>
      </c>
      <c r="H9" s="20" t="str">
        <f t="shared" ref="H9:H29" si="2">IF(ISNUMBER($C$5),IF(D9&gt;=$C$5,"sim","não"),"-")</f>
        <v>-</v>
      </c>
      <c r="I9" s="15" t="s">
        <v>60</v>
      </c>
    </row>
    <row r="10" ht="44.25" customHeight="1">
      <c r="A10" s="14" t="s">
        <v>61</v>
      </c>
      <c r="B10" s="15" t="s">
        <v>45</v>
      </c>
      <c r="C10" s="15" t="s">
        <v>163</v>
      </c>
      <c r="D10" s="20">
        <f>COUNTIF('Consolidação'!$C$2:$C$61,"Essencial")</f>
        <v>0</v>
      </c>
      <c r="E10" s="20">
        <f>COUNTIF('Consolidação'!$C$2:$C$61,"Útil, mas não essencial")</f>
        <v>0</v>
      </c>
      <c r="F10" s="20">
        <f>COUNTIF('Consolidação'!$C$2:$C$61,"Desnecessário")</f>
        <v>0</v>
      </c>
      <c r="G10" s="21" t="str">
        <f t="shared" si="1"/>
        <v>-</v>
      </c>
      <c r="H10" s="20" t="str">
        <f t="shared" si="2"/>
        <v>-</v>
      </c>
      <c r="I10" s="15" t="s">
        <v>62</v>
      </c>
    </row>
    <row r="11" ht="57.75" customHeight="1">
      <c r="A11" s="14" t="s">
        <v>63</v>
      </c>
      <c r="B11" s="15" t="s">
        <v>45</v>
      </c>
      <c r="C11" s="15" t="s">
        <v>163</v>
      </c>
      <c r="D11" s="20">
        <f>COUNTIF('Consolidação'!$D$2:$D$61,"Essencial")</f>
        <v>0</v>
      </c>
      <c r="E11" s="20">
        <f>COUNTIF('Consolidação'!$D$2:$D$61,"Útil, mas não essencial")</f>
        <v>0</v>
      </c>
      <c r="F11" s="20">
        <f>COUNTIF('Consolidação'!$D$2:$D$61,"Desnecessário")</f>
        <v>0</v>
      </c>
      <c r="G11" s="21" t="str">
        <f t="shared" si="1"/>
        <v>-</v>
      </c>
      <c r="H11" s="20" t="str">
        <f t="shared" si="2"/>
        <v>-</v>
      </c>
      <c r="I11" s="15" t="s">
        <v>64</v>
      </c>
    </row>
    <row r="12" ht="57.75" customHeight="1">
      <c r="A12" s="14" t="s">
        <v>66</v>
      </c>
      <c r="B12" s="15" t="s">
        <v>45</v>
      </c>
      <c r="C12" s="15" t="s">
        <v>163</v>
      </c>
      <c r="D12" s="20">
        <f>COUNTIF('Consolidação'!$E$2:$E$61,"Essencial")</f>
        <v>0</v>
      </c>
      <c r="E12" s="20">
        <f>COUNTIF('Consolidação'!$E$2:$E$61,"Útil, mas não essencial")</f>
        <v>0</v>
      </c>
      <c r="F12" s="20">
        <f>COUNTIF('Consolidação'!$E$2:$E$61,"Desnecessário")</f>
        <v>0</v>
      </c>
      <c r="G12" s="21" t="str">
        <f t="shared" si="1"/>
        <v>-</v>
      </c>
      <c r="H12" s="20" t="str">
        <f t="shared" si="2"/>
        <v>-</v>
      </c>
      <c r="I12" s="15" t="s">
        <v>67</v>
      </c>
    </row>
    <row r="13" ht="44.25" customHeight="1">
      <c r="A13" s="14" t="s">
        <v>68</v>
      </c>
      <c r="B13" s="15" t="s">
        <v>45</v>
      </c>
      <c r="C13" s="15" t="s">
        <v>163</v>
      </c>
      <c r="D13" s="20">
        <f>COUNTIF('Consolidação'!$F$2:$F$61,"Essencial")</f>
        <v>0</v>
      </c>
      <c r="E13" s="20">
        <f>COUNTIF('Consolidação'!$F$2:$F$61,"Útil, mas não essencial")</f>
        <v>0</v>
      </c>
      <c r="F13" s="20">
        <f>COUNTIF('Consolidação'!$F$2:$F$61,"Desnecessário")</f>
        <v>0</v>
      </c>
      <c r="G13" s="21" t="str">
        <f t="shared" si="1"/>
        <v>-</v>
      </c>
      <c r="H13" s="20" t="str">
        <f t="shared" si="2"/>
        <v>-</v>
      </c>
      <c r="I13" s="15" t="s">
        <v>69</v>
      </c>
    </row>
    <row r="14" ht="71.25" customHeight="1">
      <c r="A14" s="14" t="s">
        <v>72</v>
      </c>
      <c r="B14" s="15" t="s">
        <v>70</v>
      </c>
      <c r="C14" s="15" t="s">
        <v>163</v>
      </c>
      <c r="D14" s="20">
        <f>COUNTIF('Consolidação'!$G$2:$G$61,"Essencial")</f>
        <v>0</v>
      </c>
      <c r="E14" s="20">
        <f>COUNTIF('Consolidação'!$G$2:$G$61,"Útil, mas não essencial")</f>
        <v>0</v>
      </c>
      <c r="F14" s="20">
        <f>COUNTIF('Consolidação'!$G$2:$G$61,"Desnecessário")</f>
        <v>0</v>
      </c>
      <c r="G14" s="21" t="str">
        <f t="shared" si="1"/>
        <v>-</v>
      </c>
      <c r="H14" s="20" t="str">
        <f t="shared" si="2"/>
        <v>-</v>
      </c>
      <c r="I14" s="15" t="s">
        <v>73</v>
      </c>
    </row>
    <row r="15" ht="57.75" customHeight="1">
      <c r="A15" s="14" t="s">
        <v>74</v>
      </c>
      <c r="B15" s="15" t="s">
        <v>70</v>
      </c>
      <c r="C15" s="15" t="s">
        <v>163</v>
      </c>
      <c r="D15" s="20">
        <f>COUNTIF('Consolidação'!$H$2:$H$61,"Essencial")</f>
        <v>0</v>
      </c>
      <c r="E15" s="20">
        <f>COUNTIF('Consolidação'!$H$2:$H$61,"Útil, mas não essencial")</f>
        <v>0</v>
      </c>
      <c r="F15" s="20">
        <f>COUNTIF('Consolidação'!$H$2:$H$61,"Desnecessário")</f>
        <v>0</v>
      </c>
      <c r="G15" s="21" t="str">
        <f t="shared" si="1"/>
        <v>-</v>
      </c>
      <c r="H15" s="20" t="str">
        <f t="shared" si="2"/>
        <v>-</v>
      </c>
      <c r="I15" s="15" t="s">
        <v>75</v>
      </c>
    </row>
    <row r="16" ht="57.75" customHeight="1">
      <c r="A16" s="14" t="s">
        <v>77</v>
      </c>
      <c r="B16" s="15" t="s">
        <v>70</v>
      </c>
      <c r="C16" s="15" t="s">
        <v>163</v>
      </c>
      <c r="D16" s="20">
        <f>COUNTIF('Consolidação'!$I$2:$I$61,"Essencial")</f>
        <v>0</v>
      </c>
      <c r="E16" s="20">
        <f>COUNTIF('Consolidação'!$I$2:$I$61,"Útil, mas não essencial")</f>
        <v>0</v>
      </c>
      <c r="F16" s="20">
        <f>COUNTIF('Consolidação'!$I$2:$I$61,"Desnecessário")</f>
        <v>0</v>
      </c>
      <c r="G16" s="21" t="str">
        <f t="shared" si="1"/>
        <v>-</v>
      </c>
      <c r="H16" s="20" t="str">
        <f t="shared" si="2"/>
        <v>-</v>
      </c>
      <c r="I16" s="15" t="s">
        <v>78</v>
      </c>
    </row>
    <row r="17" ht="111.75" customHeight="1">
      <c r="A17" s="14" t="s">
        <v>80</v>
      </c>
      <c r="B17" s="15" t="s">
        <v>79</v>
      </c>
      <c r="C17" s="15" t="s">
        <v>164</v>
      </c>
      <c r="D17" s="20">
        <f>COUNTIF('Consolidação'!$J$2:$J$61,"Essencial")</f>
        <v>0</v>
      </c>
      <c r="E17" s="20">
        <f>COUNTIF('Consolidação'!$J$2:$J$61,"Útil, mas não essencial")</f>
        <v>0</v>
      </c>
      <c r="F17" s="20">
        <f>COUNTIF('Consolidação'!$J$2:$J$61,"Desnecessário")</f>
        <v>0</v>
      </c>
      <c r="G17" s="21" t="str">
        <f t="shared" si="1"/>
        <v>-</v>
      </c>
      <c r="H17" s="20" t="str">
        <f t="shared" si="2"/>
        <v>-</v>
      </c>
      <c r="I17" s="15" t="s">
        <v>81</v>
      </c>
    </row>
    <row r="18" ht="44.25" customHeight="1">
      <c r="A18" s="14" t="s">
        <v>82</v>
      </c>
      <c r="B18" s="15" t="s">
        <v>79</v>
      </c>
      <c r="C18" s="15" t="s">
        <v>164</v>
      </c>
      <c r="D18" s="20">
        <f>COUNTIF('Consolidação'!$K$2:$K$61,"Essencial")</f>
        <v>0</v>
      </c>
      <c r="E18" s="20">
        <f>COUNTIF('Consolidação'!$K$2:$K$61,"Útil, mas não essencial")</f>
        <v>0</v>
      </c>
      <c r="F18" s="20">
        <f>COUNTIF('Consolidação'!$K$2:$K$61,"Desnecessário")</f>
        <v>0</v>
      </c>
      <c r="G18" s="21" t="str">
        <f t="shared" si="1"/>
        <v>-</v>
      </c>
      <c r="H18" s="20" t="str">
        <f t="shared" si="2"/>
        <v>-</v>
      </c>
      <c r="I18" s="15" t="s">
        <v>83</v>
      </c>
    </row>
    <row r="19" ht="44.25" customHeight="1">
      <c r="A19" s="14" t="s">
        <v>84</v>
      </c>
      <c r="B19" s="15" t="s">
        <v>79</v>
      </c>
      <c r="C19" s="15" t="s">
        <v>164</v>
      </c>
      <c r="D19" s="20">
        <f>COUNTIF('Consolidação'!$L$2:$L$61,"Essencial")</f>
        <v>0</v>
      </c>
      <c r="E19" s="20">
        <f>COUNTIF('Consolidação'!$L$2:$L$61,"Útil, mas não essencial")</f>
        <v>0</v>
      </c>
      <c r="F19" s="20">
        <f>COUNTIF('Consolidação'!$L$2:$L$61,"Desnecessário")</f>
        <v>0</v>
      </c>
      <c r="G19" s="21" t="str">
        <f t="shared" si="1"/>
        <v>-</v>
      </c>
      <c r="H19" s="20" t="str">
        <f t="shared" si="2"/>
        <v>-</v>
      </c>
      <c r="I19" s="15" t="s">
        <v>85</v>
      </c>
    </row>
    <row r="20" ht="57.75" customHeight="1">
      <c r="A20" s="14" t="s">
        <v>86</v>
      </c>
      <c r="B20" s="15" t="s">
        <v>79</v>
      </c>
      <c r="C20" s="15" t="s">
        <v>164</v>
      </c>
      <c r="D20" s="20">
        <f>COUNTIF('Consolidação'!$M$2:$M$61,"Essencial")</f>
        <v>0</v>
      </c>
      <c r="E20" s="20">
        <f>COUNTIF('Consolidação'!$M$2:$M$61,"Útil, mas não essencial")</f>
        <v>0</v>
      </c>
      <c r="F20" s="20">
        <f>COUNTIF('Consolidação'!$M$2:$M$61,"Desnecessário")</f>
        <v>0</v>
      </c>
      <c r="G20" s="21" t="str">
        <f t="shared" si="1"/>
        <v>-</v>
      </c>
      <c r="H20" s="20" t="str">
        <f t="shared" si="2"/>
        <v>-</v>
      </c>
      <c r="I20" s="15" t="s">
        <v>87</v>
      </c>
    </row>
    <row r="21" ht="57.75" customHeight="1">
      <c r="A21" s="14" t="s">
        <v>88</v>
      </c>
      <c r="B21" s="15" t="s">
        <v>79</v>
      </c>
      <c r="C21" s="15" t="s">
        <v>164</v>
      </c>
      <c r="D21" s="20">
        <f>COUNTIF('Consolidação'!$N$2:$N$61,"Essencial")</f>
        <v>0</v>
      </c>
      <c r="E21" s="20">
        <f>COUNTIF('Consolidação'!$N$2:$N$61,"Útil, mas não essencial")</f>
        <v>0</v>
      </c>
      <c r="F21" s="20">
        <f>COUNTIF('Consolidação'!$N$2:$N$61,"Desnecessário")</f>
        <v>0</v>
      </c>
      <c r="G21" s="21" t="str">
        <f t="shared" si="1"/>
        <v>-</v>
      </c>
      <c r="H21" s="20" t="str">
        <f t="shared" si="2"/>
        <v>-</v>
      </c>
      <c r="I21" s="15" t="s">
        <v>89</v>
      </c>
    </row>
    <row r="22" ht="44.25" customHeight="1">
      <c r="A22" s="14" t="s">
        <v>90</v>
      </c>
      <c r="B22" s="15" t="s">
        <v>79</v>
      </c>
      <c r="C22" s="15" t="s">
        <v>164</v>
      </c>
      <c r="D22" s="20">
        <f>COUNTIF('Consolidação'!$O$2:$O$61,"Essencial")</f>
        <v>0</v>
      </c>
      <c r="E22" s="20">
        <f>COUNTIF('Consolidação'!$O$2:$O$61,"Útil, mas não essencial")</f>
        <v>0</v>
      </c>
      <c r="F22" s="20">
        <f>COUNTIF('Consolidação'!$O$2:$O$61,"Desnecessário")</f>
        <v>0</v>
      </c>
      <c r="G22" s="21" t="str">
        <f t="shared" si="1"/>
        <v>-</v>
      </c>
      <c r="H22" s="20" t="str">
        <f t="shared" si="2"/>
        <v>-</v>
      </c>
      <c r="I22" s="15" t="s">
        <v>91</v>
      </c>
    </row>
    <row r="23" ht="57.75" customHeight="1">
      <c r="A23" s="14" t="s">
        <v>92</v>
      </c>
      <c r="B23" s="15" t="s">
        <v>79</v>
      </c>
      <c r="C23" s="15" t="s">
        <v>164</v>
      </c>
      <c r="D23" s="20">
        <f>COUNTIF('Consolidação'!$P$2:$P$61,"Essencial")</f>
        <v>0</v>
      </c>
      <c r="E23" s="20">
        <f>COUNTIF('Consolidação'!$P$2:$P$61,"Útil, mas não essencial")</f>
        <v>0</v>
      </c>
      <c r="F23" s="20">
        <f>COUNTIF('Consolidação'!$P$2:$P$61,"Desnecessário")</f>
        <v>0</v>
      </c>
      <c r="G23" s="21" t="str">
        <f t="shared" si="1"/>
        <v>-</v>
      </c>
      <c r="H23" s="20" t="str">
        <f t="shared" si="2"/>
        <v>-</v>
      </c>
      <c r="I23" s="15" t="s">
        <v>93</v>
      </c>
    </row>
    <row r="24" ht="57.75" customHeight="1">
      <c r="A24" s="14" t="s">
        <v>94</v>
      </c>
      <c r="B24" s="15" t="s">
        <v>79</v>
      </c>
      <c r="C24" s="15" t="s">
        <v>163</v>
      </c>
      <c r="D24" s="20">
        <f>COUNTIF('Consolidação'!$Q$2:$Q$61,"Essencial")</f>
        <v>0</v>
      </c>
      <c r="E24" s="20">
        <f>COUNTIF('Consolidação'!$Q$2:$Q$61,"Útil, mas não essencial")</f>
        <v>0</v>
      </c>
      <c r="F24" s="20">
        <f>COUNTIF('Consolidação'!$Q$2:$Q$61,"Desnecessário")</f>
        <v>0</v>
      </c>
      <c r="G24" s="21" t="str">
        <f t="shared" si="1"/>
        <v>-</v>
      </c>
      <c r="H24" s="20" t="str">
        <f t="shared" si="2"/>
        <v>-</v>
      </c>
      <c r="I24" s="15" t="s">
        <v>95</v>
      </c>
    </row>
    <row r="25" ht="84.75" customHeight="1">
      <c r="A25" s="14" t="s">
        <v>96</v>
      </c>
      <c r="B25" s="15" t="s">
        <v>79</v>
      </c>
      <c r="C25" s="15" t="s">
        <v>163</v>
      </c>
      <c r="D25" s="20">
        <f>COUNTIF('Consolidação'!$R$2:$R$61,"Essencial")</f>
        <v>0</v>
      </c>
      <c r="E25" s="20">
        <f>COUNTIF('Consolidação'!$R$2:$R$61,"Útil, mas não essencial")</f>
        <v>0</v>
      </c>
      <c r="F25" s="20">
        <f>COUNTIF('Consolidação'!$R$2:$R$61,"Desnecessário")</f>
        <v>0</v>
      </c>
      <c r="G25" s="21" t="str">
        <f t="shared" si="1"/>
        <v>-</v>
      </c>
      <c r="H25" s="20" t="str">
        <f t="shared" si="2"/>
        <v>-</v>
      </c>
      <c r="I25" s="15" t="s">
        <v>97</v>
      </c>
    </row>
    <row r="26" ht="57.75" customHeight="1">
      <c r="A26" s="14" t="s">
        <v>98</v>
      </c>
      <c r="B26" s="15" t="s">
        <v>79</v>
      </c>
      <c r="C26" s="15" t="s">
        <v>163</v>
      </c>
      <c r="D26" s="20">
        <f>COUNTIF('Consolidação'!$S$2:$S$61,"Essencial")</f>
        <v>0</v>
      </c>
      <c r="E26" s="20">
        <f>COUNTIF('Consolidação'!$S$2:$S$61,"Útil, mas não essencial")</f>
        <v>0</v>
      </c>
      <c r="F26" s="20">
        <f>COUNTIF('Consolidação'!$S$2:$S$61,"Desnecessário")</f>
        <v>0</v>
      </c>
      <c r="G26" s="21" t="str">
        <f t="shared" si="1"/>
        <v>-</v>
      </c>
      <c r="H26" s="20" t="str">
        <f t="shared" si="2"/>
        <v>-</v>
      </c>
      <c r="I26" s="15" t="s">
        <v>99</v>
      </c>
    </row>
    <row r="27" ht="71.25" customHeight="1">
      <c r="A27" s="14" t="s">
        <v>101</v>
      </c>
      <c r="B27" s="15" t="s">
        <v>100</v>
      </c>
      <c r="C27" s="15" t="s">
        <v>163</v>
      </c>
      <c r="D27" s="20">
        <f>COUNTIF('Consolidação'!$T$2:$T$61,"Essencial")</f>
        <v>0</v>
      </c>
      <c r="E27" s="20">
        <f>COUNTIF('Consolidação'!$T$2:$T$61,"Útil, mas não essencial")</f>
        <v>0</v>
      </c>
      <c r="F27" s="20">
        <f>COUNTIF('Consolidação'!$T$2:$T$61,"Desnecessário")</f>
        <v>0</v>
      </c>
      <c r="G27" s="21" t="str">
        <f t="shared" si="1"/>
        <v>-</v>
      </c>
      <c r="H27" s="20" t="str">
        <f t="shared" si="2"/>
        <v>-</v>
      </c>
      <c r="I27" s="15" t="s">
        <v>102</v>
      </c>
    </row>
    <row r="28" ht="71.25" customHeight="1">
      <c r="A28" s="14" t="s">
        <v>103</v>
      </c>
      <c r="B28" s="15" t="s">
        <v>100</v>
      </c>
      <c r="C28" s="15" t="s">
        <v>163</v>
      </c>
      <c r="D28" s="20">
        <f>COUNTIF('Consolidação'!$U$2:$U$61,"Essencial")</f>
        <v>0</v>
      </c>
      <c r="E28" s="20">
        <f>COUNTIF('Consolidação'!$U$2:$U$61,"Útil, mas não essencial")</f>
        <v>0</v>
      </c>
      <c r="F28" s="20">
        <f>COUNTIF('Consolidação'!$U$2:$U$61,"Desnecessário")</f>
        <v>0</v>
      </c>
      <c r="G28" s="21" t="str">
        <f t="shared" si="1"/>
        <v>-</v>
      </c>
      <c r="H28" s="20" t="str">
        <f t="shared" si="2"/>
        <v>-</v>
      </c>
      <c r="I28" s="15" t="s">
        <v>104</v>
      </c>
    </row>
    <row r="29" ht="57.75" customHeight="1">
      <c r="A29" s="14" t="s">
        <v>105</v>
      </c>
      <c r="B29" s="15" t="s">
        <v>100</v>
      </c>
      <c r="C29" s="15" t="s">
        <v>163</v>
      </c>
      <c r="D29" s="20">
        <f>COUNTIF('Consolidação'!$V$2:$V$61,"Essencial")</f>
        <v>0</v>
      </c>
      <c r="E29" s="20">
        <f>COUNTIF('Consolidação'!$V$2:$V$61,"Útil, mas não essencial")</f>
        <v>0</v>
      </c>
      <c r="F29" s="20">
        <f>COUNTIF('Consolidação'!$V$2:$V$61,"Desnecessário")</f>
        <v>0</v>
      </c>
      <c r="G29" s="21" t="str">
        <f t="shared" si="1"/>
        <v>-</v>
      </c>
      <c r="H29" s="20" t="str">
        <f t="shared" si="2"/>
        <v>-</v>
      </c>
      <c r="I29" s="15" t="s">
        <v>106</v>
      </c>
    </row>
    <row r="30" ht="15.0" customHeight="1"/>
    <row r="31" ht="17.25" customHeight="1">
      <c r="A31" s="2" t="s">
        <v>165</v>
      </c>
    </row>
    <row r="32" ht="18.75" customHeight="1">
      <c r="A32" s="22" t="s">
        <v>166</v>
      </c>
      <c r="B32" s="9"/>
      <c r="C32" s="6" t="s">
        <v>167</v>
      </c>
      <c r="D32" s="6" t="s">
        <v>168</v>
      </c>
      <c r="E32" s="6" t="s">
        <v>169</v>
      </c>
    </row>
    <row r="33" ht="17.25" customHeight="1">
      <c r="A33" s="4" t="s">
        <v>170</v>
      </c>
      <c r="C33" s="23">
        <f>COUNTIF($C$9:$C$29,"*OE3*")</f>
        <v>7</v>
      </c>
      <c r="D33" s="23">
        <f>COUNTIFS($C$9:$C$29,"*OE3*",$H$9:$H$29,"sim")</f>
        <v>0</v>
      </c>
      <c r="E33" s="23" t="str">
        <f>IF(ISNUMBER($C$5),IF(AND(C33&gt;0,D33=C33),"sim","não"),"-")</f>
        <v>-</v>
      </c>
    </row>
    <row r="34" ht="17.25" customHeight="1">
      <c r="A34" s="4" t="s">
        <v>171</v>
      </c>
      <c r="C34" s="23">
        <f>COUNTA($A$9:$A$29)</f>
        <v>21</v>
      </c>
      <c r="D34" s="23">
        <f>COUNTIF($H$9:$H$29,"sim")</f>
        <v>0</v>
      </c>
      <c r="E34" s="23" t="str">
        <f>IF(ISNUMBER($C$5),IF(D34=C34,"sim","não"),"-")</f>
        <v>-</v>
      </c>
    </row>
    <row r="35" ht="15.0" customHeight="1"/>
    <row r="36" ht="33.0" customHeight="1">
      <c r="A36" s="22" t="s">
        <v>172</v>
      </c>
      <c r="B36" s="9"/>
      <c r="C36" s="6" t="s">
        <v>173</v>
      </c>
      <c r="D36" s="6" t="s">
        <v>168</v>
      </c>
    </row>
    <row r="37" ht="17.25" customHeight="1">
      <c r="A37" s="4" t="s">
        <v>174</v>
      </c>
      <c r="C37" s="24" t="str">
        <f>IF(ISNUMBER($C$5),AVERAGE($G$9:$G$29),"-")</f>
        <v>-</v>
      </c>
      <c r="D37" s="24" t="str">
        <f>IF(ISNUMBER($C$5),IFERROR(AVERAGEIF($H$9:$H$29,"sim",$G$9:$G$29),"-"),"-")</f>
        <v>-</v>
      </c>
    </row>
    <row r="38" ht="17.25" customHeight="1">
      <c r="A38" s="4" t="s">
        <v>45</v>
      </c>
      <c r="C38" s="24" t="str">
        <f>IF(ISNUMBER($C$5),AVERAGEIF($B$9:$B$29,"A. Modelo de vínculo (C1)",$G$9:$G$29),"-")</f>
        <v>-</v>
      </c>
      <c r="D38" s="24" t="str">
        <f>IF(ISNUMBER($C$5),IFERROR(AVERAGEIFS($G$9:$G$29,$B$9:$B$29,"A. Modelo de vínculo (C1)",$H$9:$H$29,"sim"),"-"),"-")</f>
        <v>-</v>
      </c>
    </row>
    <row r="39" ht="17.25" customHeight="1">
      <c r="A39" s="4" t="s">
        <v>70</v>
      </c>
      <c r="C39" s="24" t="str">
        <f>IF(ISNUMBER($C$5),AVERAGEIF($B$9:$B$29,"B. Catálogo de mitigações (C2)",$G$9:$G$29),"-")</f>
        <v>-</v>
      </c>
      <c r="D39" s="24" t="str">
        <f>IF(ISNUMBER($C$5),IFERROR(AVERAGEIFS($G$9:$G$29,$B$9:$B$29,"B. Catálogo de mitigações (C2)",$H$9:$H$29,"sim"),"-"),"-")</f>
        <v>-</v>
      </c>
    </row>
    <row r="40" ht="17.25" customHeight="1">
      <c r="A40" s="4" t="s">
        <v>79</v>
      </c>
      <c r="C40" s="24" t="str">
        <f>IF(ISNUMBER($C$5),AVERAGEIF($B$9:$B$29,"C. Protocolo de monitoramento (C3)",$G$9:$G$29),"-")</f>
        <v>-</v>
      </c>
      <c r="D40" s="24" t="str">
        <f>IF(ISNUMBER($C$5),IFERROR(AVERAGEIFS($G$9:$G$29,$B$9:$B$29,"C. Protocolo de monitoramento (C3)",$H$9:$H$29,"sim"),"-"),"-")</f>
        <v>-</v>
      </c>
    </row>
    <row r="41" ht="17.25" customHeight="1">
      <c r="A41" s="4" t="s">
        <v>100</v>
      </c>
      <c r="C41" s="24" t="str">
        <f>IF(ISNUMBER($C$5),AVERAGEIF($B$9:$B$29,"D. Protótipo (C4)",$G$9:$G$29),"-")</f>
        <v>-</v>
      </c>
      <c r="D41" s="24" t="str">
        <f>IF(ISNUMBER($C$5),IFERROR(AVERAGEIFS($G$9:$G$29,$B$9:$B$29,"D. Protótipo (C4)",$H$9:$H$29,"sim"),"-"),"-")</f>
        <v>-</v>
      </c>
    </row>
    <row r="42" ht="15.0" customHeight="1"/>
    <row r="43" ht="17.25" customHeight="1">
      <c r="A43" s="2" t="s">
        <v>175</v>
      </c>
    </row>
    <row r="44" ht="33.0" customHeight="1">
      <c r="A44" s="22" t="s">
        <v>109</v>
      </c>
      <c r="B44" s="9"/>
      <c r="C44" s="6" t="s">
        <v>176</v>
      </c>
      <c r="D44" s="6" t="s">
        <v>177</v>
      </c>
      <c r="E44" s="6" t="s">
        <v>178</v>
      </c>
      <c r="F44" s="6" t="s">
        <v>179</v>
      </c>
      <c r="G44" s="6" t="s">
        <v>180</v>
      </c>
    </row>
    <row r="45" ht="17.25" customHeight="1">
      <c r="A45" s="4" t="s">
        <v>112</v>
      </c>
      <c r="C45" s="25">
        <v>90.0</v>
      </c>
      <c r="D45" s="26" t="str">
        <f>IF(COUNT('Consolidação'!$W$2:$W$61)&gt;0,MEDIAN('Consolidação'!$W$2:$W$61),"-")</f>
        <v>-</v>
      </c>
      <c r="E45" s="26" t="str">
        <f>IF(COUNT('Consolidação'!$W$2:$W$61)&gt;0,QUARTILE('Consolidação'!$W$2:$W$61,1),"-")</f>
        <v>-</v>
      </c>
      <c r="F45" s="26" t="str">
        <f>IF(COUNT('Consolidação'!$W$2:$W$61)&gt;0,QUARTILE('Consolidação'!$W$2:$W$61,3),"-")</f>
        <v>-</v>
      </c>
      <c r="G45" s="23" t="str">
        <f>IF(COUNT('Consolidação'!$W$2:$W$61)&gt;0,IF(AND(E45&lt;=C45,C45&lt;=F45),"sim","não"),"-")</f>
        <v>-</v>
      </c>
    </row>
    <row r="46" ht="17.25" customHeight="1">
      <c r="A46" s="4" t="s">
        <v>113</v>
      </c>
      <c r="C46" s="25">
        <v>180.0</v>
      </c>
      <c r="D46" s="26" t="str">
        <f>IF(COUNT('Consolidação'!$X$2:$X$61)&gt;0,MEDIAN('Consolidação'!$X$2:$X$61),"-")</f>
        <v>-</v>
      </c>
      <c r="E46" s="26" t="str">
        <f>IF(COUNT('Consolidação'!$X$2:$X$61)&gt;0,QUARTILE('Consolidação'!$X$2:$X$61,1),"-")</f>
        <v>-</v>
      </c>
      <c r="F46" s="26" t="str">
        <f>IF(COUNT('Consolidação'!$X$2:$X$61)&gt;0,QUARTILE('Consolidação'!$X$2:$X$61,3),"-")</f>
        <v>-</v>
      </c>
      <c r="G46" s="23" t="str">
        <f>IF(COUNT('Consolidação'!$X$2:$X$61)&gt;0,IF(AND(E46&lt;=C46,C46&lt;=F46),"sim","não"),"-")</f>
        <v>-</v>
      </c>
    </row>
    <row r="47" ht="17.25" customHeight="1">
      <c r="A47" s="4" t="s">
        <v>114</v>
      </c>
      <c r="C47" s="25">
        <v>365.0</v>
      </c>
      <c r="D47" s="26" t="str">
        <f>IF(COUNT('Consolidação'!$Y$2:$Y$61)&gt;0,MEDIAN('Consolidação'!$Y$2:$Y$61),"-")</f>
        <v>-</v>
      </c>
      <c r="E47" s="26" t="str">
        <f>IF(COUNT('Consolidação'!$Y$2:$Y$61)&gt;0,QUARTILE('Consolidação'!$Y$2:$Y$61,1),"-")</f>
        <v>-</v>
      </c>
      <c r="F47" s="26" t="str">
        <f>IF(COUNT('Consolidação'!$Y$2:$Y$61)&gt;0,QUARTILE('Consolidação'!$Y$2:$Y$61,3),"-")</f>
        <v>-</v>
      </c>
      <c r="G47" s="23" t="str">
        <f>IF(COUNT('Consolidação'!$Y$2:$Y$61)&gt;0,IF(AND(E47&lt;=C47,C47&lt;=F47),"sim","não"),"-")</f>
        <v>-</v>
      </c>
    </row>
    <row r="48" ht="17.25" customHeight="1">
      <c r="A48" s="3" t="s">
        <v>181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I1"/>
    <mergeCell ref="A2:I2"/>
    <mergeCell ref="A4:B4"/>
    <mergeCell ref="A5:B5"/>
    <mergeCell ref="D5:I6"/>
    <mergeCell ref="A6:B6"/>
    <mergeCell ref="A31:I31"/>
    <mergeCell ref="A40:B40"/>
    <mergeCell ref="A41:B41"/>
    <mergeCell ref="A43:I43"/>
    <mergeCell ref="A44:B44"/>
    <mergeCell ref="A45:B45"/>
    <mergeCell ref="A46:B46"/>
    <mergeCell ref="A47:B47"/>
    <mergeCell ref="A48:I48"/>
    <mergeCell ref="A32:B32"/>
    <mergeCell ref="A33:B33"/>
    <mergeCell ref="A34:B34"/>
    <mergeCell ref="A36:B36"/>
    <mergeCell ref="A37:B37"/>
    <mergeCell ref="A38:B38"/>
    <mergeCell ref="A39:B39"/>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2026-10-17T06:18:45Z</dcterms:created>
  <dc:creator>openpyxl</dc:creator>
</cp:coreProperties>
</file>

<file path=docProps/custom.xml><?xml version="1.0" encoding="utf-8"?>
<Properties xmlns="http://schemas.openxmlformats.org/officeDocument/2006/custom-properties" xmlns:vt="http://schemas.openxmlformats.org/officeDocument/2006/docPropsVTypes"/>
</file>